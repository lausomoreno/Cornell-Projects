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b5daa44516668e/Desktop/Cornell/Computer Architecture/Lab3/Lab3/"/>
    </mc:Choice>
  </mc:AlternateContent>
  <xr:revisionPtr revIDLastSave="116" documentId="8_{1A1055ED-6BFB-4C65-8C7F-C2F186CE06E4}" xr6:coauthVersionLast="47" xr6:coauthVersionMax="47" xr10:uidLastSave="{56D6ECDD-C074-40E0-9A7E-C626D6DE1771}"/>
  <bookViews>
    <workbookView xWindow="11190" yWindow="0" windowWidth="11460" windowHeight="14410" firstSheet="1" activeTab="2" xr2:uid="{A899B366-4F60-4AAF-A280-75B0F88CAB7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3" l="1"/>
  <c r="L10" i="3"/>
  <c r="L9" i="3"/>
  <c r="L6" i="3"/>
  <c r="I12" i="3"/>
  <c r="I11" i="3"/>
  <c r="F6" i="3"/>
  <c r="F5" i="3"/>
  <c r="K11" i="3"/>
  <c r="K10" i="3"/>
  <c r="K9" i="3"/>
  <c r="K6" i="3"/>
  <c r="K5" i="3"/>
  <c r="H12" i="3"/>
  <c r="H11" i="3"/>
  <c r="H10" i="3"/>
  <c r="H9" i="3"/>
  <c r="H6" i="3"/>
  <c r="H5" i="3"/>
  <c r="E12" i="3"/>
  <c r="E11" i="3"/>
  <c r="E10" i="3"/>
  <c r="E9" i="3"/>
  <c r="E8" i="3"/>
  <c r="E7" i="3"/>
  <c r="E6" i="3"/>
  <c r="E5" i="3"/>
  <c r="J12" i="3"/>
  <c r="J11" i="3"/>
  <c r="J10" i="3"/>
  <c r="J9" i="3"/>
  <c r="J6" i="3"/>
  <c r="J5" i="3"/>
  <c r="G12" i="3"/>
  <c r="G11" i="3"/>
  <c r="G10" i="3"/>
  <c r="G9" i="3"/>
  <c r="G6" i="3"/>
  <c r="G5" i="3"/>
  <c r="D12" i="3"/>
  <c r="D11" i="3"/>
  <c r="D10" i="3"/>
  <c r="D9" i="3"/>
  <c r="D8" i="3"/>
  <c r="D7" i="3"/>
  <c r="D6" i="3"/>
  <c r="D5" i="3"/>
</calcChain>
</file>

<file path=xl/sharedStrings.xml><?xml version="1.0" encoding="utf-8"?>
<sst xmlns="http://schemas.openxmlformats.org/spreadsheetml/2006/main" count="61" uniqueCount="27">
  <si>
    <t>Fetch Latency</t>
  </si>
  <si>
    <t>Fetch Bandwidth</t>
  </si>
  <si>
    <t>Branch Mispredict</t>
  </si>
  <si>
    <t>Machine Clears</t>
  </si>
  <si>
    <t>Memory Bound Core</t>
  </si>
  <si>
    <t>Core Bound</t>
  </si>
  <si>
    <t>Light Operations</t>
  </si>
  <si>
    <t>Heavy Operations</t>
  </si>
  <si>
    <t>Naïve 600x600</t>
  </si>
  <si>
    <t>Sparse 600x600 (90%)</t>
  </si>
  <si>
    <t>Sparse 600x600 (50%)</t>
  </si>
  <si>
    <t>Naïve 1300x600x1300</t>
  </si>
  <si>
    <t>Sparse 1300x600x1300 (90%)</t>
  </si>
  <si>
    <t>Sparse 1300x600x1300 (50%)</t>
  </si>
  <si>
    <t>Naïve 1300x1300</t>
  </si>
  <si>
    <t>Sparse 1300x1300 (90%)</t>
  </si>
  <si>
    <t>Sparse 1300x1300 (50%)</t>
  </si>
  <si>
    <t>Runtime(s)</t>
  </si>
  <si>
    <t>Thread (8T, 512)</t>
  </si>
  <si>
    <t>Thread(4T,512)</t>
  </si>
  <si>
    <t>Naïve (512)</t>
  </si>
  <si>
    <t>Thread (8T, 1024)</t>
  </si>
  <si>
    <t>Thread(4T,1024)</t>
  </si>
  <si>
    <t>Naïve (1024)</t>
  </si>
  <si>
    <t>Thread (8T, 2048)</t>
  </si>
  <si>
    <t>Thread(4T,2048)</t>
  </si>
  <si>
    <t>Naïve (2048)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</si>
</sst>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Level Performance - Sparse matmul (90% sparsity</a:t>
            </a:r>
            <a:r>
              <a:rPr lang="en-US" baseline="0"/>
              <a:t> and 50% sparsity )vs Naive matmul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Sheet1!$C$6</c:f>
              <c:strCache>
                <c:ptCount val="1"/>
                <c:pt idx="0">
                  <c:v>Fetch Latency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Sheet1!$D$5:$L$5</c:f>
              <c:strCache>
                <c:ptCount val="9"/>
                <c:pt idx="0">
                  <c:v>Naïve 600x600</c:v>
                </c:pt>
                <c:pt idx="1">
                  <c:v>Sparse 600x600 (90%)</c:v>
                </c:pt>
                <c:pt idx="2">
                  <c:v>Sparse 600x600 (50%)</c:v>
                </c:pt>
                <c:pt idx="3">
                  <c:v>Naïve 1300x600x1300</c:v>
                </c:pt>
                <c:pt idx="4">
                  <c:v>Sparse 1300x600x1300 (90%)</c:v>
                </c:pt>
                <c:pt idx="5">
                  <c:v>Sparse 1300x600x1300 (50%)</c:v>
                </c:pt>
                <c:pt idx="6">
                  <c:v>Naïve 1300x1300</c:v>
                </c:pt>
                <c:pt idx="7">
                  <c:v>Sparse 1300x1300 (90%)</c:v>
                </c:pt>
                <c:pt idx="8">
                  <c:v>Sparse 1300x1300 (50%)</c:v>
                </c:pt>
              </c:strCache>
            </c:strRef>
          </c:cat>
          <c:val>
            <c:numRef>
              <c:f>Sheet1!$D$6:$L$6</c:f>
              <c:numCache>
                <c:formatCode>General</c:formatCode>
                <c:ptCount val="9"/>
                <c:pt idx="0">
                  <c:v>0.4</c:v>
                </c:pt>
                <c:pt idx="1">
                  <c:v>12.1</c:v>
                </c:pt>
                <c:pt idx="2">
                  <c:v>17.8</c:v>
                </c:pt>
                <c:pt idx="3">
                  <c:v>0.4</c:v>
                </c:pt>
                <c:pt idx="4">
                  <c:v>1.1000000000000001</c:v>
                </c:pt>
                <c:pt idx="5">
                  <c:v>11.3</c:v>
                </c:pt>
                <c:pt idx="6">
                  <c:v>14.4</c:v>
                </c:pt>
                <c:pt idx="7">
                  <c:v>22.9</c:v>
                </c:pt>
                <c:pt idx="8">
                  <c:v>17.100000000000001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1-42C4-B995-E87716E70E75}"/>
            </c:ext>
          </c:extLst>
        </c:ser>
        <c:ser>
          <c:idx val="1"/>
          <c:order val="1"/>
          <c:tx>
            <c:strRef>
              <c:f>Sheet1!$C$7</c:f>
              <c:strCache>
                <c:ptCount val="1"/>
                <c:pt idx="0">
                  <c:v>Fetch Bandwidth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Sheet1!$D$5:$L$5</c:f>
              <c:strCache>
                <c:ptCount val="9"/>
                <c:pt idx="0">
                  <c:v>Naïve 600x600</c:v>
                </c:pt>
                <c:pt idx="1">
                  <c:v>Sparse 600x600 (90%)</c:v>
                </c:pt>
                <c:pt idx="2">
                  <c:v>Sparse 600x600 (50%)</c:v>
                </c:pt>
                <c:pt idx="3">
                  <c:v>Naïve 1300x600x1300</c:v>
                </c:pt>
                <c:pt idx="4">
                  <c:v>Sparse 1300x600x1300 (90%)</c:v>
                </c:pt>
                <c:pt idx="5">
                  <c:v>Sparse 1300x600x1300 (50%)</c:v>
                </c:pt>
                <c:pt idx="6">
                  <c:v>Naïve 1300x1300</c:v>
                </c:pt>
                <c:pt idx="7">
                  <c:v>Sparse 1300x1300 (90%)</c:v>
                </c:pt>
                <c:pt idx="8">
                  <c:v>Sparse 1300x1300 (50%)</c:v>
                </c:pt>
              </c:strCache>
            </c:strRef>
          </c:cat>
          <c:val>
            <c:numRef>
              <c:f>Sheet1!$D$7:$L$7</c:f>
              <c:numCache>
                <c:formatCode>General</c:formatCode>
                <c:ptCount val="9"/>
                <c:pt idx="0">
                  <c:v>4.7</c:v>
                </c:pt>
                <c:pt idx="1">
                  <c:v>9.8000000000000007</c:v>
                </c:pt>
                <c:pt idx="2">
                  <c:v>12.9</c:v>
                </c:pt>
                <c:pt idx="3">
                  <c:v>3.5</c:v>
                </c:pt>
                <c:pt idx="4">
                  <c:v>25.5</c:v>
                </c:pt>
                <c:pt idx="5">
                  <c:v>9</c:v>
                </c:pt>
                <c:pt idx="6">
                  <c:v>12.5</c:v>
                </c:pt>
                <c:pt idx="7">
                  <c:v>12.5</c:v>
                </c:pt>
                <c:pt idx="8">
                  <c:v>11.3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C1-42C4-B995-E87716E70E75}"/>
            </c:ext>
          </c:extLst>
        </c:ser>
        <c:ser>
          <c:idx val="2"/>
          <c:order val="2"/>
          <c:tx>
            <c:strRef>
              <c:f>Sheet1!$C$8</c:f>
              <c:strCache>
                <c:ptCount val="1"/>
                <c:pt idx="0">
                  <c:v>Branch Mispredict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Sheet1!$D$5:$L$5</c:f>
              <c:strCache>
                <c:ptCount val="9"/>
                <c:pt idx="0">
                  <c:v>Naïve 600x600</c:v>
                </c:pt>
                <c:pt idx="1">
                  <c:v>Sparse 600x600 (90%)</c:v>
                </c:pt>
                <c:pt idx="2">
                  <c:v>Sparse 600x600 (50%)</c:v>
                </c:pt>
                <c:pt idx="3">
                  <c:v>Naïve 1300x600x1300</c:v>
                </c:pt>
                <c:pt idx="4">
                  <c:v>Sparse 1300x600x1300 (90%)</c:v>
                </c:pt>
                <c:pt idx="5">
                  <c:v>Sparse 1300x600x1300 (50%)</c:v>
                </c:pt>
                <c:pt idx="6">
                  <c:v>Naïve 1300x1300</c:v>
                </c:pt>
                <c:pt idx="7">
                  <c:v>Sparse 1300x1300 (90%)</c:v>
                </c:pt>
                <c:pt idx="8">
                  <c:v>Sparse 1300x1300 (50%)</c:v>
                </c:pt>
              </c:strCache>
            </c:strRef>
          </c:cat>
          <c:val>
            <c:numRef>
              <c:f>Sheet1!$D$8:$L$8</c:f>
              <c:numCache>
                <c:formatCode>General</c:formatCode>
                <c:ptCount val="9"/>
                <c:pt idx="0">
                  <c:v>0.4</c:v>
                </c:pt>
                <c:pt idx="1">
                  <c:v>3.9</c:v>
                </c:pt>
                <c:pt idx="2">
                  <c:v>7</c:v>
                </c:pt>
                <c:pt idx="3">
                  <c:v>2</c:v>
                </c:pt>
                <c:pt idx="4">
                  <c:v>1.2</c:v>
                </c:pt>
                <c:pt idx="5">
                  <c:v>5.0999999999999996</c:v>
                </c:pt>
                <c:pt idx="6">
                  <c:v>4.3</c:v>
                </c:pt>
                <c:pt idx="7">
                  <c:v>12.7</c:v>
                </c:pt>
                <c:pt idx="8">
                  <c:v>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C1-42C4-B995-E87716E70E75}"/>
            </c:ext>
          </c:extLst>
        </c:ser>
        <c:ser>
          <c:idx val="3"/>
          <c:order val="3"/>
          <c:tx>
            <c:strRef>
              <c:f>Sheet1!$C$9</c:f>
              <c:strCache>
                <c:ptCount val="1"/>
                <c:pt idx="0">
                  <c:v>Machine Clears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Sheet1!$D$5:$L$5</c:f>
              <c:strCache>
                <c:ptCount val="9"/>
                <c:pt idx="0">
                  <c:v>Naïve 600x600</c:v>
                </c:pt>
                <c:pt idx="1">
                  <c:v>Sparse 600x600 (90%)</c:v>
                </c:pt>
                <c:pt idx="2">
                  <c:v>Sparse 600x600 (50%)</c:v>
                </c:pt>
                <c:pt idx="3">
                  <c:v>Naïve 1300x600x1300</c:v>
                </c:pt>
                <c:pt idx="4">
                  <c:v>Sparse 1300x600x1300 (90%)</c:v>
                </c:pt>
                <c:pt idx="5">
                  <c:v>Sparse 1300x600x1300 (50%)</c:v>
                </c:pt>
                <c:pt idx="6">
                  <c:v>Naïve 1300x1300</c:v>
                </c:pt>
                <c:pt idx="7">
                  <c:v>Sparse 1300x1300 (90%)</c:v>
                </c:pt>
                <c:pt idx="8">
                  <c:v>Sparse 1300x1300 (50%)</c:v>
                </c:pt>
              </c:strCache>
            </c:strRef>
          </c:cat>
          <c:val>
            <c:numRef>
              <c:f>Sheet1!$D$9:$L$9</c:f>
              <c:numCache>
                <c:formatCode>General</c:formatCode>
                <c:ptCount val="9"/>
                <c:pt idx="0">
                  <c:v>0</c:v>
                </c:pt>
                <c:pt idx="1">
                  <c:v>0.9</c:v>
                </c:pt>
                <c:pt idx="2">
                  <c:v>0.9</c:v>
                </c:pt>
                <c:pt idx="3">
                  <c:v>0.4</c:v>
                </c:pt>
                <c:pt idx="4">
                  <c:v>0</c:v>
                </c:pt>
                <c:pt idx="5">
                  <c:v>0.9</c:v>
                </c:pt>
                <c:pt idx="6">
                  <c:v>0.5</c:v>
                </c:pt>
                <c:pt idx="7">
                  <c:v>0.5</c:v>
                </c:pt>
                <c:pt idx="8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C1-42C4-B995-E87716E70E75}"/>
            </c:ext>
          </c:extLst>
        </c:ser>
        <c:ser>
          <c:idx val="4"/>
          <c:order val="4"/>
          <c:tx>
            <c:strRef>
              <c:f>Sheet1!$C$10</c:f>
              <c:strCache>
                <c:ptCount val="1"/>
                <c:pt idx="0">
                  <c:v>Memory Bound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Sheet1!$D$5:$L$5</c:f>
              <c:strCache>
                <c:ptCount val="9"/>
                <c:pt idx="0">
                  <c:v>Naïve 600x600</c:v>
                </c:pt>
                <c:pt idx="1">
                  <c:v>Sparse 600x600 (90%)</c:v>
                </c:pt>
                <c:pt idx="2">
                  <c:v>Sparse 600x600 (50%)</c:v>
                </c:pt>
                <c:pt idx="3">
                  <c:v>Naïve 1300x600x1300</c:v>
                </c:pt>
                <c:pt idx="4">
                  <c:v>Sparse 1300x600x1300 (90%)</c:v>
                </c:pt>
                <c:pt idx="5">
                  <c:v>Sparse 1300x600x1300 (50%)</c:v>
                </c:pt>
                <c:pt idx="6">
                  <c:v>Naïve 1300x1300</c:v>
                </c:pt>
                <c:pt idx="7">
                  <c:v>Sparse 1300x1300 (90%)</c:v>
                </c:pt>
                <c:pt idx="8">
                  <c:v>Sparse 1300x1300 (50%)</c:v>
                </c:pt>
              </c:strCache>
            </c:strRef>
          </c:cat>
          <c:val>
            <c:numRef>
              <c:f>Sheet1!$D$10:$L$10</c:f>
              <c:numCache>
                <c:formatCode>General</c:formatCode>
                <c:ptCount val="9"/>
                <c:pt idx="0">
                  <c:v>34.799999999999997</c:v>
                </c:pt>
                <c:pt idx="1">
                  <c:v>25.1</c:v>
                </c:pt>
                <c:pt idx="2">
                  <c:v>14.5</c:v>
                </c:pt>
                <c:pt idx="3">
                  <c:v>9.4</c:v>
                </c:pt>
                <c:pt idx="4">
                  <c:v>3.9</c:v>
                </c:pt>
                <c:pt idx="5">
                  <c:v>28.5</c:v>
                </c:pt>
                <c:pt idx="6">
                  <c:v>12.9</c:v>
                </c:pt>
                <c:pt idx="7">
                  <c:v>11.8</c:v>
                </c:pt>
                <c:pt idx="8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C1-42C4-B995-E87716E70E75}"/>
            </c:ext>
          </c:extLst>
        </c:ser>
        <c:ser>
          <c:idx val="5"/>
          <c:order val="5"/>
          <c:tx>
            <c:strRef>
              <c:f>Sheet1!$C$11</c:f>
              <c:strCache>
                <c:ptCount val="1"/>
                <c:pt idx="0">
                  <c:v>Core Bound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Sheet1!$D$5:$L$5</c:f>
              <c:strCache>
                <c:ptCount val="9"/>
                <c:pt idx="0">
                  <c:v>Naïve 600x600</c:v>
                </c:pt>
                <c:pt idx="1">
                  <c:v>Sparse 600x600 (90%)</c:v>
                </c:pt>
                <c:pt idx="2">
                  <c:v>Sparse 600x600 (50%)</c:v>
                </c:pt>
                <c:pt idx="3">
                  <c:v>Naïve 1300x600x1300</c:v>
                </c:pt>
                <c:pt idx="4">
                  <c:v>Sparse 1300x600x1300 (90%)</c:v>
                </c:pt>
                <c:pt idx="5">
                  <c:v>Sparse 1300x600x1300 (50%)</c:v>
                </c:pt>
                <c:pt idx="6">
                  <c:v>Naïve 1300x1300</c:v>
                </c:pt>
                <c:pt idx="7">
                  <c:v>Sparse 1300x1300 (90%)</c:v>
                </c:pt>
                <c:pt idx="8">
                  <c:v>Sparse 1300x1300 (50%)</c:v>
                </c:pt>
              </c:strCache>
            </c:strRef>
          </c:cat>
          <c:val>
            <c:numRef>
              <c:f>Sheet1!$D$11:$L$11</c:f>
              <c:numCache>
                <c:formatCode>General</c:formatCode>
                <c:ptCount val="9"/>
                <c:pt idx="0">
                  <c:v>41.8</c:v>
                </c:pt>
                <c:pt idx="1">
                  <c:v>22.4</c:v>
                </c:pt>
                <c:pt idx="2">
                  <c:v>21.5</c:v>
                </c:pt>
                <c:pt idx="3">
                  <c:v>14.5</c:v>
                </c:pt>
                <c:pt idx="4">
                  <c:v>6.3</c:v>
                </c:pt>
                <c:pt idx="5">
                  <c:v>19.5</c:v>
                </c:pt>
                <c:pt idx="6">
                  <c:v>19.2</c:v>
                </c:pt>
                <c:pt idx="7">
                  <c:v>17</c:v>
                </c:pt>
                <c:pt idx="8">
                  <c:v>22.3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C1-42C4-B995-E87716E70E75}"/>
            </c:ext>
          </c:extLst>
        </c:ser>
        <c:ser>
          <c:idx val="6"/>
          <c:order val="6"/>
          <c:tx>
            <c:strRef>
              <c:f>Sheet1!$C$12</c:f>
              <c:strCache>
                <c:ptCount val="1"/>
                <c:pt idx="0">
                  <c:v>Light Operations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Sheet1!$D$5:$L$5</c:f>
              <c:strCache>
                <c:ptCount val="9"/>
                <c:pt idx="0">
                  <c:v>Naïve 600x600</c:v>
                </c:pt>
                <c:pt idx="1">
                  <c:v>Sparse 600x600 (90%)</c:v>
                </c:pt>
                <c:pt idx="2">
                  <c:v>Sparse 600x600 (50%)</c:v>
                </c:pt>
                <c:pt idx="3">
                  <c:v>Naïve 1300x600x1300</c:v>
                </c:pt>
                <c:pt idx="4">
                  <c:v>Sparse 1300x600x1300 (90%)</c:v>
                </c:pt>
                <c:pt idx="5">
                  <c:v>Sparse 1300x600x1300 (50%)</c:v>
                </c:pt>
                <c:pt idx="6">
                  <c:v>Naïve 1300x1300</c:v>
                </c:pt>
                <c:pt idx="7">
                  <c:v>Sparse 1300x1300 (90%)</c:v>
                </c:pt>
                <c:pt idx="8">
                  <c:v>Sparse 1300x1300 (50%)</c:v>
                </c:pt>
              </c:strCache>
            </c:strRef>
          </c:cat>
          <c:val>
            <c:numRef>
              <c:f>Sheet1!$D$12:$L$12</c:f>
              <c:numCache>
                <c:formatCode>General</c:formatCode>
                <c:ptCount val="9"/>
                <c:pt idx="0">
                  <c:v>9.8000000000000007</c:v>
                </c:pt>
                <c:pt idx="1">
                  <c:v>19.600000000000001</c:v>
                </c:pt>
                <c:pt idx="2">
                  <c:v>21.9</c:v>
                </c:pt>
                <c:pt idx="3">
                  <c:v>74.5</c:v>
                </c:pt>
                <c:pt idx="4">
                  <c:v>61.6</c:v>
                </c:pt>
                <c:pt idx="5">
                  <c:v>21.5</c:v>
                </c:pt>
                <c:pt idx="6">
                  <c:v>29.4</c:v>
                </c:pt>
                <c:pt idx="7">
                  <c:v>19.5</c:v>
                </c:pt>
                <c:pt idx="8">
                  <c:v>20.7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C1-42C4-B995-E87716E70E75}"/>
            </c:ext>
          </c:extLst>
        </c:ser>
        <c:ser>
          <c:idx val="7"/>
          <c:order val="7"/>
          <c:tx>
            <c:strRef>
              <c:f>Sheet1!$C$13</c:f>
              <c:strCache>
                <c:ptCount val="1"/>
                <c:pt idx="0">
                  <c:v>Heavy Operations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Sheet1!$D$5:$L$5</c:f>
              <c:strCache>
                <c:ptCount val="9"/>
                <c:pt idx="0">
                  <c:v>Naïve 600x600</c:v>
                </c:pt>
                <c:pt idx="1">
                  <c:v>Sparse 600x600 (90%)</c:v>
                </c:pt>
                <c:pt idx="2">
                  <c:v>Sparse 600x600 (50%)</c:v>
                </c:pt>
                <c:pt idx="3">
                  <c:v>Naïve 1300x600x1300</c:v>
                </c:pt>
                <c:pt idx="4">
                  <c:v>Sparse 1300x600x1300 (90%)</c:v>
                </c:pt>
                <c:pt idx="5">
                  <c:v>Sparse 1300x600x1300 (50%)</c:v>
                </c:pt>
                <c:pt idx="6">
                  <c:v>Naïve 1300x1300</c:v>
                </c:pt>
                <c:pt idx="7">
                  <c:v>Sparse 1300x1300 (90%)</c:v>
                </c:pt>
                <c:pt idx="8">
                  <c:v>Sparse 1300x1300 (50%)</c:v>
                </c:pt>
              </c:strCache>
            </c:strRef>
          </c:cat>
          <c:val>
            <c:numRef>
              <c:f>Sheet1!$D$13:$L$13</c:f>
              <c:numCache>
                <c:formatCode>General</c:formatCode>
                <c:ptCount val="9"/>
                <c:pt idx="0">
                  <c:v>8.1999999999999993</c:v>
                </c:pt>
                <c:pt idx="1">
                  <c:v>4.7</c:v>
                </c:pt>
                <c:pt idx="2">
                  <c:v>4.7</c:v>
                </c:pt>
                <c:pt idx="3">
                  <c:v>4.7</c:v>
                </c:pt>
                <c:pt idx="4">
                  <c:v>0</c:v>
                </c:pt>
                <c:pt idx="5">
                  <c:v>5.0999999999999996</c:v>
                </c:pt>
                <c:pt idx="6">
                  <c:v>6.7</c:v>
                </c:pt>
                <c:pt idx="7">
                  <c:v>5</c:v>
                </c:pt>
                <c:pt idx="8">
                  <c:v>5.0999999999999996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C1-42C4-B995-E87716E70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40594479"/>
        <c:axId val="540590639"/>
        <c:axId val="0"/>
      </c:bar3DChart>
      <c:catAx>
        <c:axId val="540594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590639"/>
        <c:crosses val="autoZero"/>
        <c:auto val="1"/>
        <c:lblAlgn val="ctr"/>
        <c:lblOffset val="100"/>
        <c:noMultiLvlLbl val="0"/>
      </c:catAx>
      <c:valAx>
        <c:axId val="540590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594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Top Level Performance - Sparse matmul (90% sparsity and 50% sparsity )vs Naive matmul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Sheet2!$D$5</c:f>
              <c:strCache>
                <c:ptCount val="1"/>
                <c:pt idx="0">
                  <c:v>Fetch Latency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Sheet2!$E$4:$M$4</c:f>
              <c:strCache>
                <c:ptCount val="9"/>
                <c:pt idx="0">
                  <c:v>Naïve 600x600</c:v>
                </c:pt>
                <c:pt idx="1">
                  <c:v>Sparse 600x600 (90%)</c:v>
                </c:pt>
                <c:pt idx="2">
                  <c:v>Sparse 600x600 (50%)</c:v>
                </c:pt>
                <c:pt idx="3">
                  <c:v>Naïve 1300x600x1300</c:v>
                </c:pt>
                <c:pt idx="4">
                  <c:v>Sparse 1300x600x1300 (90%)</c:v>
                </c:pt>
                <c:pt idx="5">
                  <c:v>Sparse 1300x600x1300 (50%)</c:v>
                </c:pt>
                <c:pt idx="6">
                  <c:v>Naïve 1300x1300</c:v>
                </c:pt>
                <c:pt idx="7">
                  <c:v>Sparse 1300x1300 (90%)</c:v>
                </c:pt>
                <c:pt idx="8">
                  <c:v>Sparse 1300x1300 (50%)</c:v>
                </c:pt>
              </c:strCache>
            </c:strRef>
          </c:cat>
          <c:val>
            <c:numRef>
              <c:f>Sheet2!$E$5:$M$5</c:f>
              <c:numCache>
                <c:formatCode>General</c:formatCode>
                <c:ptCount val="9"/>
                <c:pt idx="0">
                  <c:v>14.4</c:v>
                </c:pt>
                <c:pt idx="1">
                  <c:v>15.6</c:v>
                </c:pt>
                <c:pt idx="2">
                  <c:v>13.2</c:v>
                </c:pt>
                <c:pt idx="3">
                  <c:v>0.5</c:v>
                </c:pt>
                <c:pt idx="4">
                  <c:v>13.5</c:v>
                </c:pt>
                <c:pt idx="5">
                  <c:v>1.1000000000000001</c:v>
                </c:pt>
                <c:pt idx="6">
                  <c:v>15</c:v>
                </c:pt>
                <c:pt idx="7">
                  <c:v>19.100000000000001</c:v>
                </c:pt>
                <c:pt idx="8">
                  <c:v>20.6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95-4D76-A2A9-DBE779852753}"/>
            </c:ext>
          </c:extLst>
        </c:ser>
        <c:ser>
          <c:idx val="1"/>
          <c:order val="1"/>
          <c:tx>
            <c:strRef>
              <c:f>Sheet2!$D$6</c:f>
              <c:strCache>
                <c:ptCount val="1"/>
                <c:pt idx="0">
                  <c:v>Fetch Bandwidth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Sheet2!$E$4:$M$4</c:f>
              <c:strCache>
                <c:ptCount val="9"/>
                <c:pt idx="0">
                  <c:v>Naïve 600x600</c:v>
                </c:pt>
                <c:pt idx="1">
                  <c:v>Sparse 600x600 (90%)</c:v>
                </c:pt>
                <c:pt idx="2">
                  <c:v>Sparse 600x600 (50%)</c:v>
                </c:pt>
                <c:pt idx="3">
                  <c:v>Naïve 1300x600x1300</c:v>
                </c:pt>
                <c:pt idx="4">
                  <c:v>Sparse 1300x600x1300 (90%)</c:v>
                </c:pt>
                <c:pt idx="5">
                  <c:v>Sparse 1300x600x1300 (50%)</c:v>
                </c:pt>
                <c:pt idx="6">
                  <c:v>Naïve 1300x1300</c:v>
                </c:pt>
                <c:pt idx="7">
                  <c:v>Sparse 1300x1300 (90%)</c:v>
                </c:pt>
                <c:pt idx="8">
                  <c:v>Sparse 1300x1300 (50%)</c:v>
                </c:pt>
              </c:strCache>
            </c:strRef>
          </c:cat>
          <c:val>
            <c:numRef>
              <c:f>Sheet2!$E$6:$M$6</c:f>
              <c:numCache>
                <c:formatCode>General</c:formatCode>
                <c:ptCount val="9"/>
                <c:pt idx="0">
                  <c:v>12.7</c:v>
                </c:pt>
                <c:pt idx="1">
                  <c:v>10.5</c:v>
                </c:pt>
                <c:pt idx="2">
                  <c:v>9.8000000000000007</c:v>
                </c:pt>
                <c:pt idx="3">
                  <c:v>3.1</c:v>
                </c:pt>
                <c:pt idx="4">
                  <c:v>9.8000000000000007</c:v>
                </c:pt>
                <c:pt idx="5">
                  <c:v>26</c:v>
                </c:pt>
                <c:pt idx="6">
                  <c:v>12</c:v>
                </c:pt>
                <c:pt idx="7">
                  <c:v>11.5</c:v>
                </c:pt>
                <c:pt idx="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95-4D76-A2A9-DBE779852753}"/>
            </c:ext>
          </c:extLst>
        </c:ser>
        <c:ser>
          <c:idx val="2"/>
          <c:order val="2"/>
          <c:tx>
            <c:strRef>
              <c:f>Sheet2!$D$7</c:f>
              <c:strCache>
                <c:ptCount val="1"/>
                <c:pt idx="0">
                  <c:v>Branch Mispredict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Sheet2!$E$4:$M$4</c:f>
              <c:strCache>
                <c:ptCount val="9"/>
                <c:pt idx="0">
                  <c:v>Naïve 600x600</c:v>
                </c:pt>
                <c:pt idx="1">
                  <c:v>Sparse 600x600 (90%)</c:v>
                </c:pt>
                <c:pt idx="2">
                  <c:v>Sparse 600x600 (50%)</c:v>
                </c:pt>
                <c:pt idx="3">
                  <c:v>Naïve 1300x600x1300</c:v>
                </c:pt>
                <c:pt idx="4">
                  <c:v>Sparse 1300x600x1300 (90%)</c:v>
                </c:pt>
                <c:pt idx="5">
                  <c:v>Sparse 1300x600x1300 (50%)</c:v>
                </c:pt>
                <c:pt idx="6">
                  <c:v>Naïve 1300x1300</c:v>
                </c:pt>
                <c:pt idx="7">
                  <c:v>Sparse 1300x1300 (90%)</c:v>
                </c:pt>
                <c:pt idx="8">
                  <c:v>Sparse 1300x1300 (50%)</c:v>
                </c:pt>
              </c:strCache>
            </c:strRef>
          </c:cat>
          <c:val>
            <c:numRef>
              <c:f>Sheet2!$E$7:$M$7</c:f>
              <c:numCache>
                <c:formatCode>General</c:formatCode>
                <c:ptCount val="9"/>
                <c:pt idx="0">
                  <c:v>4.3</c:v>
                </c:pt>
                <c:pt idx="1">
                  <c:v>5.9</c:v>
                </c:pt>
                <c:pt idx="2">
                  <c:v>4.3</c:v>
                </c:pt>
                <c:pt idx="3">
                  <c:v>2.9</c:v>
                </c:pt>
                <c:pt idx="4">
                  <c:v>4.5999999999999996</c:v>
                </c:pt>
                <c:pt idx="5">
                  <c:v>1.2</c:v>
                </c:pt>
                <c:pt idx="6">
                  <c:v>5.3</c:v>
                </c:pt>
                <c:pt idx="7">
                  <c:v>9.5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95-4D76-A2A9-DBE779852753}"/>
            </c:ext>
          </c:extLst>
        </c:ser>
        <c:ser>
          <c:idx val="3"/>
          <c:order val="3"/>
          <c:tx>
            <c:strRef>
              <c:f>Sheet2!$D$8</c:f>
              <c:strCache>
                <c:ptCount val="1"/>
                <c:pt idx="0">
                  <c:v>Machine Clears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Sheet2!$E$4:$M$4</c:f>
              <c:strCache>
                <c:ptCount val="9"/>
                <c:pt idx="0">
                  <c:v>Naïve 600x600</c:v>
                </c:pt>
                <c:pt idx="1">
                  <c:v>Sparse 600x600 (90%)</c:v>
                </c:pt>
                <c:pt idx="2">
                  <c:v>Sparse 600x600 (50%)</c:v>
                </c:pt>
                <c:pt idx="3">
                  <c:v>Naïve 1300x600x1300</c:v>
                </c:pt>
                <c:pt idx="4">
                  <c:v>Sparse 1300x600x1300 (90%)</c:v>
                </c:pt>
                <c:pt idx="5">
                  <c:v>Sparse 1300x600x1300 (50%)</c:v>
                </c:pt>
                <c:pt idx="6">
                  <c:v>Naïve 1300x1300</c:v>
                </c:pt>
                <c:pt idx="7">
                  <c:v>Sparse 1300x1300 (90%)</c:v>
                </c:pt>
                <c:pt idx="8">
                  <c:v>Sparse 1300x1300 (50%)</c:v>
                </c:pt>
              </c:strCache>
            </c:strRef>
          </c:cat>
          <c:val>
            <c:numRef>
              <c:f>Sheet2!$E$8:$M$8</c:f>
              <c:numCache>
                <c:formatCode>General</c:formatCode>
                <c:ptCount val="9"/>
                <c:pt idx="0">
                  <c:v>0.5</c:v>
                </c:pt>
                <c:pt idx="1">
                  <c:v>0.8</c:v>
                </c:pt>
                <c:pt idx="2">
                  <c:v>0.6</c:v>
                </c:pt>
                <c:pt idx="3">
                  <c:v>0.3</c:v>
                </c:pt>
                <c:pt idx="4">
                  <c:v>0.8</c:v>
                </c:pt>
                <c:pt idx="5">
                  <c:v>0</c:v>
                </c:pt>
                <c:pt idx="6">
                  <c:v>0.7</c:v>
                </c:pt>
                <c:pt idx="7">
                  <c:v>0.7</c:v>
                </c:pt>
                <c:pt idx="8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95-4D76-A2A9-DBE779852753}"/>
            </c:ext>
          </c:extLst>
        </c:ser>
        <c:ser>
          <c:idx val="4"/>
          <c:order val="4"/>
          <c:tx>
            <c:strRef>
              <c:f>Sheet2!$D$9</c:f>
              <c:strCache>
                <c:ptCount val="1"/>
                <c:pt idx="0">
                  <c:v>Memory Bound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Sheet2!$E$4:$M$4</c:f>
              <c:strCache>
                <c:ptCount val="9"/>
                <c:pt idx="0">
                  <c:v>Naïve 600x600</c:v>
                </c:pt>
                <c:pt idx="1">
                  <c:v>Sparse 600x600 (90%)</c:v>
                </c:pt>
                <c:pt idx="2">
                  <c:v>Sparse 600x600 (50%)</c:v>
                </c:pt>
                <c:pt idx="3">
                  <c:v>Naïve 1300x600x1300</c:v>
                </c:pt>
                <c:pt idx="4">
                  <c:v>Sparse 1300x600x1300 (90%)</c:v>
                </c:pt>
                <c:pt idx="5">
                  <c:v>Sparse 1300x600x1300 (50%)</c:v>
                </c:pt>
                <c:pt idx="6">
                  <c:v>Naïve 1300x1300</c:v>
                </c:pt>
                <c:pt idx="7">
                  <c:v>Sparse 1300x1300 (90%)</c:v>
                </c:pt>
                <c:pt idx="8">
                  <c:v>Sparse 1300x1300 (50%)</c:v>
                </c:pt>
              </c:strCache>
            </c:strRef>
          </c:cat>
          <c:val>
            <c:numRef>
              <c:f>Sheet2!$E$9:$M$9</c:f>
              <c:numCache>
                <c:formatCode>General</c:formatCode>
                <c:ptCount val="9"/>
                <c:pt idx="0">
                  <c:v>12.4</c:v>
                </c:pt>
                <c:pt idx="1">
                  <c:v>22.7</c:v>
                </c:pt>
                <c:pt idx="2">
                  <c:v>24.6</c:v>
                </c:pt>
                <c:pt idx="3">
                  <c:v>0.53</c:v>
                </c:pt>
                <c:pt idx="4">
                  <c:v>21.2</c:v>
                </c:pt>
                <c:pt idx="5">
                  <c:v>4</c:v>
                </c:pt>
                <c:pt idx="6">
                  <c:v>15.1</c:v>
                </c:pt>
                <c:pt idx="7">
                  <c:v>14.3</c:v>
                </c:pt>
                <c:pt idx="8">
                  <c:v>13.9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95-4D76-A2A9-DBE779852753}"/>
            </c:ext>
          </c:extLst>
        </c:ser>
        <c:ser>
          <c:idx val="5"/>
          <c:order val="5"/>
          <c:tx>
            <c:strRef>
              <c:f>Sheet2!$D$10</c:f>
              <c:strCache>
                <c:ptCount val="1"/>
                <c:pt idx="0">
                  <c:v>Core Bound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Sheet2!$E$4:$M$4</c:f>
              <c:strCache>
                <c:ptCount val="9"/>
                <c:pt idx="0">
                  <c:v>Naïve 600x600</c:v>
                </c:pt>
                <c:pt idx="1">
                  <c:v>Sparse 600x600 (90%)</c:v>
                </c:pt>
                <c:pt idx="2">
                  <c:v>Sparse 600x600 (50%)</c:v>
                </c:pt>
                <c:pt idx="3">
                  <c:v>Naïve 1300x600x1300</c:v>
                </c:pt>
                <c:pt idx="4">
                  <c:v>Sparse 1300x600x1300 (90%)</c:v>
                </c:pt>
                <c:pt idx="5">
                  <c:v>Sparse 1300x600x1300 (50%)</c:v>
                </c:pt>
                <c:pt idx="6">
                  <c:v>Naïve 1300x1300</c:v>
                </c:pt>
                <c:pt idx="7">
                  <c:v>Sparse 1300x1300 (90%)</c:v>
                </c:pt>
                <c:pt idx="8">
                  <c:v>Sparse 1300x1300 (50%)</c:v>
                </c:pt>
              </c:strCache>
            </c:strRef>
          </c:cat>
          <c:val>
            <c:numRef>
              <c:f>Sheet2!$E$10:$M$10</c:f>
              <c:numCache>
                <c:formatCode>General</c:formatCode>
                <c:ptCount val="9"/>
                <c:pt idx="0">
                  <c:v>18.8</c:v>
                </c:pt>
                <c:pt idx="1">
                  <c:v>18.8</c:v>
                </c:pt>
                <c:pt idx="2">
                  <c:v>22.5</c:v>
                </c:pt>
                <c:pt idx="3">
                  <c:v>14.5</c:v>
                </c:pt>
                <c:pt idx="4">
                  <c:v>24.1</c:v>
                </c:pt>
                <c:pt idx="5">
                  <c:v>6.3</c:v>
                </c:pt>
                <c:pt idx="6">
                  <c:v>20.6</c:v>
                </c:pt>
                <c:pt idx="7">
                  <c:v>21.1</c:v>
                </c:pt>
                <c:pt idx="8">
                  <c:v>20.7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295-4D76-A2A9-DBE779852753}"/>
            </c:ext>
          </c:extLst>
        </c:ser>
        <c:ser>
          <c:idx val="6"/>
          <c:order val="6"/>
          <c:tx>
            <c:strRef>
              <c:f>Sheet2!$D$11</c:f>
              <c:strCache>
                <c:ptCount val="1"/>
                <c:pt idx="0">
                  <c:v>Light Operations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Sheet2!$E$4:$M$4</c:f>
              <c:strCache>
                <c:ptCount val="9"/>
                <c:pt idx="0">
                  <c:v>Naïve 600x600</c:v>
                </c:pt>
                <c:pt idx="1">
                  <c:v>Sparse 600x600 (90%)</c:v>
                </c:pt>
                <c:pt idx="2">
                  <c:v>Sparse 600x600 (50%)</c:v>
                </c:pt>
                <c:pt idx="3">
                  <c:v>Naïve 1300x600x1300</c:v>
                </c:pt>
                <c:pt idx="4">
                  <c:v>Sparse 1300x600x1300 (90%)</c:v>
                </c:pt>
                <c:pt idx="5">
                  <c:v>Sparse 1300x600x1300 (50%)</c:v>
                </c:pt>
                <c:pt idx="6">
                  <c:v>Naïve 1300x1300</c:v>
                </c:pt>
                <c:pt idx="7">
                  <c:v>Sparse 1300x1300 (90%)</c:v>
                </c:pt>
                <c:pt idx="8">
                  <c:v>Sparse 1300x1300 (50%)</c:v>
                </c:pt>
              </c:strCache>
            </c:strRef>
          </c:cat>
          <c:val>
            <c:numRef>
              <c:f>Sheet2!$E$11:$M$11</c:f>
              <c:numCache>
                <c:formatCode>General</c:formatCode>
                <c:ptCount val="9"/>
                <c:pt idx="0">
                  <c:v>30.4</c:v>
                </c:pt>
                <c:pt idx="1">
                  <c:v>21.3</c:v>
                </c:pt>
                <c:pt idx="2">
                  <c:v>20.100000000000001</c:v>
                </c:pt>
                <c:pt idx="3">
                  <c:v>73.5</c:v>
                </c:pt>
                <c:pt idx="4">
                  <c:v>20.8</c:v>
                </c:pt>
                <c:pt idx="5">
                  <c:v>61.3</c:v>
                </c:pt>
                <c:pt idx="6">
                  <c:v>25.5</c:v>
                </c:pt>
                <c:pt idx="7">
                  <c:v>19.5</c:v>
                </c:pt>
                <c:pt idx="8">
                  <c:v>20.8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95-4D76-A2A9-DBE779852753}"/>
            </c:ext>
          </c:extLst>
        </c:ser>
        <c:ser>
          <c:idx val="7"/>
          <c:order val="7"/>
          <c:tx>
            <c:strRef>
              <c:f>Sheet2!$D$12</c:f>
              <c:strCache>
                <c:ptCount val="1"/>
                <c:pt idx="0">
                  <c:v>Heavy Operations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Sheet2!$E$4:$M$4</c:f>
              <c:strCache>
                <c:ptCount val="9"/>
                <c:pt idx="0">
                  <c:v>Naïve 600x600</c:v>
                </c:pt>
                <c:pt idx="1">
                  <c:v>Sparse 600x600 (90%)</c:v>
                </c:pt>
                <c:pt idx="2">
                  <c:v>Sparse 600x600 (50%)</c:v>
                </c:pt>
                <c:pt idx="3">
                  <c:v>Naïve 1300x600x1300</c:v>
                </c:pt>
                <c:pt idx="4">
                  <c:v>Sparse 1300x600x1300 (90%)</c:v>
                </c:pt>
                <c:pt idx="5">
                  <c:v>Sparse 1300x600x1300 (50%)</c:v>
                </c:pt>
                <c:pt idx="6">
                  <c:v>Naïve 1300x1300</c:v>
                </c:pt>
                <c:pt idx="7">
                  <c:v>Sparse 1300x1300 (90%)</c:v>
                </c:pt>
                <c:pt idx="8">
                  <c:v>Sparse 1300x1300 (50%)</c:v>
                </c:pt>
              </c:strCache>
            </c:strRef>
          </c:cat>
          <c:val>
            <c:numRef>
              <c:f>Sheet2!$E$12:$M$12</c:f>
              <c:numCache>
                <c:formatCode>General</c:formatCode>
                <c:ptCount val="9"/>
                <c:pt idx="0">
                  <c:v>6.9</c:v>
                </c:pt>
                <c:pt idx="1">
                  <c:v>4.5999999999999996</c:v>
                </c:pt>
                <c:pt idx="2">
                  <c:v>5</c:v>
                </c:pt>
                <c:pt idx="3">
                  <c:v>4.7</c:v>
                </c:pt>
                <c:pt idx="4">
                  <c:v>5.4</c:v>
                </c:pt>
                <c:pt idx="5">
                  <c:v>0</c:v>
                </c:pt>
                <c:pt idx="6">
                  <c:v>5.9</c:v>
                </c:pt>
                <c:pt idx="7">
                  <c:v>4.4000000000000004</c:v>
                </c:pt>
                <c:pt idx="8">
                  <c:v>5.0999999999999996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295-4D76-A2A9-DBE779852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0477359"/>
        <c:axId val="540481199"/>
      </c:barChart>
      <c:catAx>
        <c:axId val="540477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481199"/>
        <c:crosses val="autoZero"/>
        <c:auto val="1"/>
        <c:lblAlgn val="ctr"/>
        <c:lblOffset val="100"/>
        <c:noMultiLvlLbl val="0"/>
      </c:catAx>
      <c:valAx>
        <c:axId val="54048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47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Thread</a:t>
            </a:r>
            <a:r>
              <a:rPr lang="en-US" baseline="0"/>
              <a:t>  8T v 4T v Naive - Different sizes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Sheet3!$C$5</c:f>
              <c:strCache>
                <c:ptCount val="1"/>
                <c:pt idx="0">
                  <c:v>Fetch Latency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Sheet3!$D$4:$L$4</c:f>
              <c:strCache>
                <c:ptCount val="9"/>
                <c:pt idx="0">
                  <c:v>Thread (8T, 512)</c:v>
                </c:pt>
                <c:pt idx="1">
                  <c:v>Thread(4T,512)</c:v>
                </c:pt>
                <c:pt idx="2">
                  <c:v>Naïve (512)</c:v>
                </c:pt>
                <c:pt idx="3">
                  <c:v>Thread (8T, 1024)</c:v>
                </c:pt>
                <c:pt idx="4">
                  <c:v>Thread(4T,1024)</c:v>
                </c:pt>
                <c:pt idx="5">
                  <c:v>Naïve (1024)</c:v>
                </c:pt>
                <c:pt idx="6">
                  <c:v>Thread (8T, 2048)</c:v>
                </c:pt>
                <c:pt idx="7">
                  <c:v>Thread(4T,2048)</c:v>
                </c:pt>
                <c:pt idx="8">
                  <c:v>Naïve (2048)</c:v>
                </c:pt>
              </c:strCache>
            </c:strRef>
          </c:cat>
          <c:val>
            <c:numRef>
              <c:f>Sheet3!$D$5:$L$5</c:f>
              <c:numCache>
                <c:formatCode>General</c:formatCode>
                <c:ptCount val="9"/>
                <c:pt idx="0">
                  <c:v>6.5749999999999993</c:v>
                </c:pt>
                <c:pt idx="1">
                  <c:v>4.8666666666666663</c:v>
                </c:pt>
                <c:pt idx="2">
                  <c:v>0.26666666666666666</c:v>
                </c:pt>
                <c:pt idx="3">
                  <c:v>3.2666666666666671</c:v>
                </c:pt>
                <c:pt idx="4">
                  <c:v>2.7333333333333329</c:v>
                </c:pt>
                <c:pt idx="5">
                  <c:v>0</c:v>
                </c:pt>
                <c:pt idx="6">
                  <c:v>1.7666666666666668</c:v>
                </c:pt>
                <c:pt idx="7">
                  <c:v>1.5333333333333332</c:v>
                </c:pt>
                <c:pt idx="8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69-4C04-B5E3-C75F8D07F31E}"/>
            </c:ext>
          </c:extLst>
        </c:ser>
        <c:ser>
          <c:idx val="1"/>
          <c:order val="1"/>
          <c:tx>
            <c:strRef>
              <c:f>Sheet3!$C$6</c:f>
              <c:strCache>
                <c:ptCount val="1"/>
                <c:pt idx="0">
                  <c:v>Fetch Bandwidth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Sheet3!$D$4:$L$4</c:f>
              <c:strCache>
                <c:ptCount val="9"/>
                <c:pt idx="0">
                  <c:v>Thread (8T, 512)</c:v>
                </c:pt>
                <c:pt idx="1">
                  <c:v>Thread(4T,512)</c:v>
                </c:pt>
                <c:pt idx="2">
                  <c:v>Naïve (512)</c:v>
                </c:pt>
                <c:pt idx="3">
                  <c:v>Thread (8T, 1024)</c:v>
                </c:pt>
                <c:pt idx="4">
                  <c:v>Thread(4T,1024)</c:v>
                </c:pt>
                <c:pt idx="5">
                  <c:v>Naïve (1024)</c:v>
                </c:pt>
                <c:pt idx="6">
                  <c:v>Thread (8T, 2048)</c:v>
                </c:pt>
                <c:pt idx="7">
                  <c:v>Thread(4T,2048)</c:v>
                </c:pt>
                <c:pt idx="8">
                  <c:v>Naïve (2048)</c:v>
                </c:pt>
              </c:strCache>
            </c:strRef>
          </c:cat>
          <c:val>
            <c:numRef>
              <c:f>Sheet3!$D$6:$L$6</c:f>
              <c:numCache>
                <c:formatCode>General</c:formatCode>
                <c:ptCount val="9"/>
                <c:pt idx="0">
                  <c:v>26.950000000000003</c:v>
                </c:pt>
                <c:pt idx="1">
                  <c:v>23.533333333333335</c:v>
                </c:pt>
                <c:pt idx="2">
                  <c:v>8.7333333333333325</c:v>
                </c:pt>
                <c:pt idx="3">
                  <c:v>19.333333333333332</c:v>
                </c:pt>
                <c:pt idx="4">
                  <c:v>17.2</c:v>
                </c:pt>
                <c:pt idx="5">
                  <c:v>5.0999999999999996</c:v>
                </c:pt>
                <c:pt idx="6">
                  <c:v>11.233333333333334</c:v>
                </c:pt>
                <c:pt idx="7">
                  <c:v>11.1</c:v>
                </c:pt>
                <c:pt idx="8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69-4C04-B5E3-C75F8D07F31E}"/>
            </c:ext>
          </c:extLst>
        </c:ser>
        <c:ser>
          <c:idx val="2"/>
          <c:order val="2"/>
          <c:tx>
            <c:strRef>
              <c:f>Sheet3!$C$7</c:f>
              <c:strCache>
                <c:ptCount val="1"/>
                <c:pt idx="0">
                  <c:v>Branch Mispredict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Sheet3!$D$4:$L$4</c:f>
              <c:strCache>
                <c:ptCount val="9"/>
                <c:pt idx="0">
                  <c:v>Thread (8T, 512)</c:v>
                </c:pt>
                <c:pt idx="1">
                  <c:v>Thread(4T,512)</c:v>
                </c:pt>
                <c:pt idx="2">
                  <c:v>Naïve (512)</c:v>
                </c:pt>
                <c:pt idx="3">
                  <c:v>Thread (8T, 1024)</c:v>
                </c:pt>
                <c:pt idx="4">
                  <c:v>Thread(4T,1024)</c:v>
                </c:pt>
                <c:pt idx="5">
                  <c:v>Naïve (1024)</c:v>
                </c:pt>
                <c:pt idx="6">
                  <c:v>Thread (8T, 2048)</c:v>
                </c:pt>
                <c:pt idx="7">
                  <c:v>Thread(4T,2048)</c:v>
                </c:pt>
                <c:pt idx="8">
                  <c:v>Naïve (2048)</c:v>
                </c:pt>
              </c:strCache>
            </c:strRef>
          </c:cat>
          <c:val>
            <c:numRef>
              <c:f>Sheet3!$D$7:$L$7</c:f>
              <c:numCache>
                <c:formatCode>General</c:formatCode>
                <c:ptCount val="9"/>
                <c:pt idx="0">
                  <c:v>1.4750000000000001</c:v>
                </c:pt>
                <c:pt idx="1">
                  <c:v>1.2666666666666666</c:v>
                </c:pt>
                <c:pt idx="2">
                  <c:v>0</c:v>
                </c:pt>
                <c:pt idx="3">
                  <c:v>1.6</c:v>
                </c:pt>
                <c:pt idx="4">
                  <c:v>1.6</c:v>
                </c:pt>
                <c:pt idx="5">
                  <c:v>0</c:v>
                </c:pt>
                <c:pt idx="6">
                  <c:v>1.6</c:v>
                </c:pt>
                <c:pt idx="7">
                  <c:v>1.6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69-4C04-B5E3-C75F8D07F31E}"/>
            </c:ext>
          </c:extLst>
        </c:ser>
        <c:ser>
          <c:idx val="3"/>
          <c:order val="3"/>
          <c:tx>
            <c:strRef>
              <c:f>Sheet3!$C$8</c:f>
              <c:strCache>
                <c:ptCount val="1"/>
                <c:pt idx="0">
                  <c:v>Machine Clears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Sheet3!$D$4:$L$4</c:f>
              <c:strCache>
                <c:ptCount val="9"/>
                <c:pt idx="0">
                  <c:v>Thread (8T, 512)</c:v>
                </c:pt>
                <c:pt idx="1">
                  <c:v>Thread(4T,512)</c:v>
                </c:pt>
                <c:pt idx="2">
                  <c:v>Naïve (512)</c:v>
                </c:pt>
                <c:pt idx="3">
                  <c:v>Thread (8T, 1024)</c:v>
                </c:pt>
                <c:pt idx="4">
                  <c:v>Thread(4T,1024)</c:v>
                </c:pt>
                <c:pt idx="5">
                  <c:v>Naïve (1024)</c:v>
                </c:pt>
                <c:pt idx="6">
                  <c:v>Thread (8T, 2048)</c:v>
                </c:pt>
                <c:pt idx="7">
                  <c:v>Thread(4T,2048)</c:v>
                </c:pt>
                <c:pt idx="8">
                  <c:v>Naïve (2048)</c:v>
                </c:pt>
              </c:strCache>
            </c:strRef>
          </c:cat>
          <c:val>
            <c:numRef>
              <c:f>Sheet3!$D$8:$L$8</c:f>
              <c:numCache>
                <c:formatCode>General</c:formatCode>
                <c:ptCount val="9"/>
                <c:pt idx="0">
                  <c:v>0.22499999999999998</c:v>
                </c:pt>
                <c:pt idx="1">
                  <c:v>0.13333333333333333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69-4C04-B5E3-C75F8D07F31E}"/>
            </c:ext>
          </c:extLst>
        </c:ser>
        <c:ser>
          <c:idx val="4"/>
          <c:order val="4"/>
          <c:tx>
            <c:strRef>
              <c:f>Sheet3!$C$9</c:f>
              <c:strCache>
                <c:ptCount val="1"/>
                <c:pt idx="0">
                  <c:v>Memory Bound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Sheet3!$D$4:$L$4</c:f>
              <c:strCache>
                <c:ptCount val="9"/>
                <c:pt idx="0">
                  <c:v>Thread (8T, 512)</c:v>
                </c:pt>
                <c:pt idx="1">
                  <c:v>Thread(4T,512)</c:v>
                </c:pt>
                <c:pt idx="2">
                  <c:v>Naïve (512)</c:v>
                </c:pt>
                <c:pt idx="3">
                  <c:v>Thread (8T, 1024)</c:v>
                </c:pt>
                <c:pt idx="4">
                  <c:v>Thread(4T,1024)</c:v>
                </c:pt>
                <c:pt idx="5">
                  <c:v>Naïve (1024)</c:v>
                </c:pt>
                <c:pt idx="6">
                  <c:v>Thread (8T, 2048)</c:v>
                </c:pt>
                <c:pt idx="7">
                  <c:v>Thread(4T,2048)</c:v>
                </c:pt>
                <c:pt idx="8">
                  <c:v>Naïve (2048)</c:v>
                </c:pt>
              </c:strCache>
            </c:strRef>
          </c:cat>
          <c:val>
            <c:numRef>
              <c:f>Sheet3!$D$9:$L$9</c:f>
              <c:numCache>
                <c:formatCode>General</c:formatCode>
                <c:ptCount val="9"/>
                <c:pt idx="0">
                  <c:v>7.0500000000000007</c:v>
                </c:pt>
                <c:pt idx="1">
                  <c:v>8.4333333333333353</c:v>
                </c:pt>
                <c:pt idx="2">
                  <c:v>11.4</c:v>
                </c:pt>
                <c:pt idx="3">
                  <c:v>4.9333333333333327</c:v>
                </c:pt>
                <c:pt idx="4">
                  <c:v>5.8999999999999995</c:v>
                </c:pt>
                <c:pt idx="5">
                  <c:v>30.3</c:v>
                </c:pt>
                <c:pt idx="6">
                  <c:v>6.0333333333333341</c:v>
                </c:pt>
                <c:pt idx="7">
                  <c:v>6.0333333333333341</c:v>
                </c:pt>
                <c:pt idx="8">
                  <c:v>58.1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69-4C04-B5E3-C75F8D07F31E}"/>
            </c:ext>
          </c:extLst>
        </c:ser>
        <c:ser>
          <c:idx val="5"/>
          <c:order val="5"/>
          <c:tx>
            <c:strRef>
              <c:f>Sheet3!$C$10</c:f>
              <c:strCache>
                <c:ptCount val="1"/>
                <c:pt idx="0">
                  <c:v>Core Bound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Sheet3!$D$4:$L$4</c:f>
              <c:strCache>
                <c:ptCount val="9"/>
                <c:pt idx="0">
                  <c:v>Thread (8T, 512)</c:v>
                </c:pt>
                <c:pt idx="1">
                  <c:v>Thread(4T,512)</c:v>
                </c:pt>
                <c:pt idx="2">
                  <c:v>Naïve (512)</c:v>
                </c:pt>
                <c:pt idx="3">
                  <c:v>Thread (8T, 1024)</c:v>
                </c:pt>
                <c:pt idx="4">
                  <c:v>Thread(4T,1024)</c:v>
                </c:pt>
                <c:pt idx="5">
                  <c:v>Naïve (1024)</c:v>
                </c:pt>
                <c:pt idx="6">
                  <c:v>Thread (8T, 2048)</c:v>
                </c:pt>
                <c:pt idx="7">
                  <c:v>Thread(4T,2048)</c:v>
                </c:pt>
                <c:pt idx="8">
                  <c:v>Naïve (2048)</c:v>
                </c:pt>
              </c:strCache>
            </c:strRef>
          </c:cat>
          <c:val>
            <c:numRef>
              <c:f>Sheet3!$D$10:$L$10</c:f>
              <c:numCache>
                <c:formatCode>General</c:formatCode>
                <c:ptCount val="9"/>
                <c:pt idx="0">
                  <c:v>9.4749999999999996</c:v>
                </c:pt>
                <c:pt idx="1">
                  <c:v>16.366666666666664</c:v>
                </c:pt>
                <c:pt idx="2">
                  <c:v>45.1</c:v>
                </c:pt>
                <c:pt idx="3">
                  <c:v>21.266666666666669</c:v>
                </c:pt>
                <c:pt idx="4">
                  <c:v>24</c:v>
                </c:pt>
                <c:pt idx="5">
                  <c:v>44.9</c:v>
                </c:pt>
                <c:pt idx="6">
                  <c:v>31.3</c:v>
                </c:pt>
                <c:pt idx="7">
                  <c:v>31.599999999999998</c:v>
                </c:pt>
                <c:pt idx="8">
                  <c:v>29.066666666666663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069-4C04-B5E3-C75F8D07F31E}"/>
            </c:ext>
          </c:extLst>
        </c:ser>
        <c:ser>
          <c:idx val="6"/>
          <c:order val="6"/>
          <c:tx>
            <c:strRef>
              <c:f>Sheet3!$C$11</c:f>
              <c:strCache>
                <c:ptCount val="1"/>
                <c:pt idx="0">
                  <c:v>Light Operations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Sheet3!$D$4:$L$4</c:f>
              <c:strCache>
                <c:ptCount val="9"/>
                <c:pt idx="0">
                  <c:v>Thread (8T, 512)</c:v>
                </c:pt>
                <c:pt idx="1">
                  <c:v>Thread(4T,512)</c:v>
                </c:pt>
                <c:pt idx="2">
                  <c:v>Naïve (512)</c:v>
                </c:pt>
                <c:pt idx="3">
                  <c:v>Thread (8T, 1024)</c:v>
                </c:pt>
                <c:pt idx="4">
                  <c:v>Thread(4T,1024)</c:v>
                </c:pt>
                <c:pt idx="5">
                  <c:v>Naïve (1024)</c:v>
                </c:pt>
                <c:pt idx="6">
                  <c:v>Thread (8T, 2048)</c:v>
                </c:pt>
                <c:pt idx="7">
                  <c:v>Thread(4T,2048)</c:v>
                </c:pt>
                <c:pt idx="8">
                  <c:v>Naïve (2048)</c:v>
                </c:pt>
              </c:strCache>
            </c:strRef>
          </c:cat>
          <c:val>
            <c:numRef>
              <c:f>Sheet3!$D$11:$L$11</c:f>
              <c:numCache>
                <c:formatCode>General</c:formatCode>
                <c:ptCount val="9"/>
                <c:pt idx="0">
                  <c:v>42.025000000000006</c:v>
                </c:pt>
                <c:pt idx="1">
                  <c:v>38.533333333333339</c:v>
                </c:pt>
                <c:pt idx="2">
                  <c:v>18.399999999999999</c:v>
                </c:pt>
                <c:pt idx="3">
                  <c:v>43.56666666666667</c:v>
                </c:pt>
                <c:pt idx="4">
                  <c:v>42.266666666666666</c:v>
                </c:pt>
                <c:pt idx="5">
                  <c:v>10.466666666666667</c:v>
                </c:pt>
                <c:pt idx="6">
                  <c:v>42.06666666666667</c:v>
                </c:pt>
                <c:pt idx="7">
                  <c:v>42.3</c:v>
                </c:pt>
                <c:pt idx="8">
                  <c:v>5.2333333333333334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69-4C04-B5E3-C75F8D07F31E}"/>
            </c:ext>
          </c:extLst>
        </c:ser>
        <c:ser>
          <c:idx val="7"/>
          <c:order val="7"/>
          <c:tx>
            <c:strRef>
              <c:f>Sheet3!$C$12</c:f>
              <c:strCache>
                <c:ptCount val="1"/>
                <c:pt idx="0">
                  <c:v>Heavy Operations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Sheet3!$D$4:$L$4</c:f>
              <c:strCache>
                <c:ptCount val="9"/>
                <c:pt idx="0">
                  <c:v>Thread (8T, 512)</c:v>
                </c:pt>
                <c:pt idx="1">
                  <c:v>Thread(4T,512)</c:v>
                </c:pt>
                <c:pt idx="2">
                  <c:v>Naïve (512)</c:v>
                </c:pt>
                <c:pt idx="3">
                  <c:v>Thread (8T, 1024)</c:v>
                </c:pt>
                <c:pt idx="4">
                  <c:v>Thread(4T,1024)</c:v>
                </c:pt>
                <c:pt idx="5">
                  <c:v>Naïve (1024)</c:v>
                </c:pt>
                <c:pt idx="6">
                  <c:v>Thread (8T, 2048)</c:v>
                </c:pt>
                <c:pt idx="7">
                  <c:v>Thread(4T,2048)</c:v>
                </c:pt>
                <c:pt idx="8">
                  <c:v>Naïve (2048)</c:v>
                </c:pt>
              </c:strCache>
            </c:strRef>
          </c:cat>
          <c:val>
            <c:numRef>
              <c:f>Sheet3!$D$12:$L$12</c:f>
              <c:numCache>
                <c:formatCode>General</c:formatCode>
                <c:ptCount val="9"/>
                <c:pt idx="0">
                  <c:v>6.25</c:v>
                </c:pt>
                <c:pt idx="1">
                  <c:v>6.8</c:v>
                </c:pt>
                <c:pt idx="2">
                  <c:v>16.100000000000001</c:v>
                </c:pt>
                <c:pt idx="3">
                  <c:v>6.3666666666666671</c:v>
                </c:pt>
                <c:pt idx="4">
                  <c:v>6.2666666666666666</c:v>
                </c:pt>
                <c:pt idx="5">
                  <c:v>9.2000000000000011</c:v>
                </c:pt>
                <c:pt idx="6">
                  <c:v>6.0333333333333341</c:v>
                </c:pt>
                <c:pt idx="7">
                  <c:v>5.9</c:v>
                </c:pt>
                <c:pt idx="8">
                  <c:v>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069-4C04-B5E3-C75F8D07F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2243215"/>
        <c:axId val="1302241775"/>
      </c:barChart>
      <c:catAx>
        <c:axId val="1302243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241775"/>
        <c:crosses val="autoZero"/>
        <c:auto val="1"/>
        <c:lblAlgn val="ctr"/>
        <c:lblOffset val="100"/>
        <c:noMultiLvlLbl val="0"/>
      </c:catAx>
      <c:valAx>
        <c:axId val="1302241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24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117474</xdr:colOff>
      <xdr:row>13</xdr:row>
      <xdr:rowOff>57150</xdr:rowOff>
    </xdr:from>
    <xdr:to>
      <xdr:col>9</xdr:col>
      <xdr:colOff>806450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8B55D4-5BE2-C9B1-2E3B-F2020B6CD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796924</xdr:colOff>
      <xdr:row>12</xdr:row>
      <xdr:rowOff>165100</xdr:rowOff>
    </xdr:from>
    <xdr:to>
      <xdr:col>12</xdr:col>
      <xdr:colOff>689207</xdr:colOff>
      <xdr:row>32</xdr:row>
      <xdr:rowOff>85183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994547-A16C-A488-26DC-C6630606EA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587375</xdr:colOff>
      <xdr:row>15</xdr:row>
      <xdr:rowOff>57150</xdr:rowOff>
    </xdr:from>
    <xdr:to>
      <xdr:col>10</xdr:col>
      <xdr:colOff>619125</xdr:colOff>
      <xdr:row>30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CE8CA8-AD00-B29B-6FFB-137C104304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73475-1849-45F9-A0CA-D3DB9FCA4871}">
  <dimension ref="C5:L29"/>
  <sheetViews>
    <sheetView topLeftCell="F1" zoomScale="90" workbookViewId="0">
      <selection activeCell="C5" sqref="C5:L13"/>
    </sheetView>
  </sheetViews>
  <sheetFormatPr defaultRowHeight="14.5" x14ac:dyDescent="0.35"/>
  <cols>
    <col min="3" max="3" width="24.81640625" bestFit="1" customWidth="1"/>
    <col min="4" max="4" width="12.54296875" bestFit="1" customWidth="1"/>
    <col min="5" max="6" width="18.90625" bestFit="1" customWidth="1"/>
    <col min="7" max="7" width="18.54296875" bestFit="1" customWidth="1"/>
    <col min="8" max="9" width="24.81640625" bestFit="1" customWidth="1"/>
    <col min="10" max="10" width="14.6328125" bestFit="1" customWidth="1"/>
    <col min="11" max="12" width="20.90625" bestFit="1" customWidth="1"/>
  </cols>
  <sheetData>
    <row r="5" spans="3:12" x14ac:dyDescent="0.35"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</row>
    <row r="6" spans="3:12" x14ac:dyDescent="0.35">
      <c r="C6" t="s">
        <v>0</v>
      </c>
      <c r="D6">
        <v>0.4</v>
      </c>
      <c r="E6">
        <v>12.1</v>
      </c>
      <c r="F6">
        <v>17.8</v>
      </c>
      <c r="G6">
        <v>0.4</v>
      </c>
      <c r="H6">
        <v>1.1000000000000001</v>
      </c>
      <c r="I6">
        <v>11.3</v>
      </c>
      <c r="J6">
        <v>14.4</v>
      </c>
      <c r="K6">
        <v>22.9</v>
      </c>
      <c r="L6">
        <v>17.100000000000001</v>
      </c>
    </row>
    <row r="7" spans="3:12" x14ac:dyDescent="0.35">
      <c r="C7" t="s">
        <v>1</v>
      </c>
      <c r="D7">
        <v>4.7</v>
      </c>
      <c r="E7">
        <v>9.8000000000000007</v>
      </c>
      <c r="F7">
        <v>12.9</v>
      </c>
      <c r="G7">
        <v>3.5</v>
      </c>
      <c r="H7">
        <v>25.5</v>
      </c>
      <c r="I7">
        <v>9</v>
      </c>
      <c r="J7">
        <v>12.5</v>
      </c>
      <c r="K7">
        <v>12.5</v>
      </c>
      <c r="L7">
        <v>11.3</v>
      </c>
    </row>
    <row r="8" spans="3:12" x14ac:dyDescent="0.35">
      <c r="C8" t="s">
        <v>2</v>
      </c>
      <c r="D8">
        <v>0.4</v>
      </c>
      <c r="E8">
        <v>3.9</v>
      </c>
      <c r="F8">
        <v>7</v>
      </c>
      <c r="G8">
        <v>2</v>
      </c>
      <c r="H8">
        <v>1.2</v>
      </c>
      <c r="I8">
        <v>5.0999999999999996</v>
      </c>
      <c r="J8">
        <v>4.3</v>
      </c>
      <c r="K8">
        <v>12.7</v>
      </c>
      <c r="L8">
        <v>6.6</v>
      </c>
    </row>
    <row r="9" spans="3:12" x14ac:dyDescent="0.35">
      <c r="C9" t="s">
        <v>3</v>
      </c>
      <c r="D9">
        <v>0</v>
      </c>
      <c r="E9">
        <v>0.9</v>
      </c>
      <c r="F9">
        <v>0.9</v>
      </c>
      <c r="G9">
        <v>0.4</v>
      </c>
      <c r="H9">
        <v>0</v>
      </c>
      <c r="I9">
        <v>0.9</v>
      </c>
      <c r="J9">
        <v>0.5</v>
      </c>
      <c r="K9">
        <v>0.5</v>
      </c>
      <c r="L9">
        <v>0.9</v>
      </c>
    </row>
    <row r="10" spans="3:12" x14ac:dyDescent="0.35">
      <c r="C10" t="s">
        <v>4</v>
      </c>
      <c r="D10">
        <v>34.799999999999997</v>
      </c>
      <c r="E10">
        <v>25.1</v>
      </c>
      <c r="F10">
        <v>14.5</v>
      </c>
      <c r="G10">
        <v>9.4</v>
      </c>
      <c r="H10">
        <v>3.9</v>
      </c>
      <c r="I10">
        <v>28.5</v>
      </c>
      <c r="J10">
        <v>12.9</v>
      </c>
      <c r="K10">
        <v>11.8</v>
      </c>
      <c r="L10">
        <v>16</v>
      </c>
    </row>
    <row r="11" spans="3:12" x14ac:dyDescent="0.35">
      <c r="C11" t="s">
        <v>5</v>
      </c>
      <c r="D11">
        <v>41.8</v>
      </c>
      <c r="E11">
        <v>22.4</v>
      </c>
      <c r="F11">
        <v>21.5</v>
      </c>
      <c r="G11">
        <v>14.5</v>
      </c>
      <c r="H11">
        <v>6.3</v>
      </c>
      <c r="I11">
        <v>19.5</v>
      </c>
      <c r="J11">
        <v>19.2</v>
      </c>
      <c r="K11">
        <v>17</v>
      </c>
      <c r="L11">
        <v>22.3</v>
      </c>
    </row>
    <row r="12" spans="3:12" x14ac:dyDescent="0.35">
      <c r="C12" t="s">
        <v>6</v>
      </c>
      <c r="D12">
        <v>9.8000000000000007</v>
      </c>
      <c r="E12">
        <v>19.600000000000001</v>
      </c>
      <c r="F12">
        <v>21.9</v>
      </c>
      <c r="G12">
        <v>74.5</v>
      </c>
      <c r="H12">
        <v>61.6</v>
      </c>
      <c r="I12">
        <v>21.5</v>
      </c>
      <c r="J12">
        <v>29.4</v>
      </c>
      <c r="K12">
        <v>19.5</v>
      </c>
      <c r="L12">
        <v>20.7</v>
      </c>
    </row>
    <row r="13" spans="3:12" x14ac:dyDescent="0.35">
      <c r="C13" t="s">
        <v>7</v>
      </c>
      <c r="D13">
        <v>8.1999999999999993</v>
      </c>
      <c r="E13">
        <v>4.7</v>
      </c>
      <c r="F13">
        <v>4.7</v>
      </c>
      <c r="G13">
        <v>4.7</v>
      </c>
      <c r="H13">
        <v>0</v>
      </c>
      <c r="I13">
        <v>5.0999999999999996</v>
      </c>
      <c r="J13">
        <v>6.7</v>
      </c>
      <c r="K13">
        <v>5</v>
      </c>
      <c r="L13">
        <v>5.0999999999999996</v>
      </c>
    </row>
    <row r="20" spans="3:4" x14ac:dyDescent="0.35">
      <c r="C20" s="1"/>
      <c r="D20" s="1" t="s">
        <v>17</v>
      </c>
    </row>
    <row r="21" spans="3:4" x14ac:dyDescent="0.35">
      <c r="C21" s="1" t="s">
        <v>8</v>
      </c>
      <c r="D21" s="1">
        <v>5.3</v>
      </c>
    </row>
    <row r="22" spans="3:4" x14ac:dyDescent="0.35">
      <c r="C22" s="1" t="s">
        <v>9</v>
      </c>
      <c r="D22" s="1">
        <v>0.12</v>
      </c>
    </row>
    <row r="23" spans="3:4" x14ac:dyDescent="0.35">
      <c r="C23" s="1" t="s">
        <v>10</v>
      </c>
      <c r="D23" s="1">
        <v>1.67</v>
      </c>
    </row>
    <row r="24" spans="3:4" x14ac:dyDescent="0.35">
      <c r="C24" s="1" t="s">
        <v>11</v>
      </c>
      <c r="D24" s="1">
        <v>31.4</v>
      </c>
    </row>
    <row r="25" spans="3:4" x14ac:dyDescent="0.35">
      <c r="C25" s="1" t="s">
        <v>12</v>
      </c>
      <c r="D25" s="1">
        <v>0.49</v>
      </c>
    </row>
    <row r="26" spans="3:4" x14ac:dyDescent="0.35">
      <c r="C26" s="1" t="s">
        <v>13</v>
      </c>
      <c r="D26" s="1">
        <v>9.33</v>
      </c>
    </row>
    <row r="27" spans="3:4" x14ac:dyDescent="0.35">
      <c r="C27" s="1" t="s">
        <v>14</v>
      </c>
      <c r="D27" s="1">
        <v>97.19</v>
      </c>
    </row>
    <row r="28" spans="3:4" x14ac:dyDescent="0.35">
      <c r="C28" s="1" t="s">
        <v>15</v>
      </c>
      <c r="D28" s="1">
        <v>0.92</v>
      </c>
    </row>
    <row r="29" spans="3:4" x14ac:dyDescent="0.35">
      <c r="C29" s="1" t="s">
        <v>16</v>
      </c>
      <c r="D29" s="1">
        <v>17.22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6344D-5E4A-4032-82A2-E2A8380FF13E}">
  <dimension ref="D4:M12"/>
  <sheetViews>
    <sheetView topLeftCell="D1" zoomScale="82" workbookViewId="0">
      <selection activeCell="E18" sqref="E18"/>
    </sheetView>
  </sheetViews>
  <sheetFormatPr defaultRowHeight="14.5" x14ac:dyDescent="0.35"/>
  <cols>
    <col min="4" max="4" width="17.1796875" bestFit="1" customWidth="1"/>
    <col min="5" max="5" width="12.54296875" bestFit="1" customWidth="1"/>
    <col min="6" max="7" width="18.90625" bestFit="1" customWidth="1"/>
    <col min="8" max="8" width="18.54296875" bestFit="1" customWidth="1"/>
    <col min="9" max="10" width="24.81640625" bestFit="1" customWidth="1"/>
    <col min="11" max="11" width="14.6328125" bestFit="1" customWidth="1"/>
    <col min="12" max="13" width="20.90625" bestFit="1" customWidth="1"/>
  </cols>
  <sheetData>
    <row r="4" spans="4:13" x14ac:dyDescent="0.35"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</row>
    <row r="5" spans="4:13" x14ac:dyDescent="0.35">
      <c r="D5" t="s">
        <v>0</v>
      </c>
      <c r="E5">
        <v>14.4</v>
      </c>
      <c r="F5">
        <v>15.6</v>
      </c>
      <c r="G5">
        <v>13.2</v>
      </c>
      <c r="H5">
        <v>0.5</v>
      </c>
      <c r="I5">
        <v>13.5</v>
      </c>
      <c r="J5">
        <v>1.1000000000000001</v>
      </c>
      <c r="K5">
        <v>15</v>
      </c>
      <c r="L5">
        <v>19.100000000000001</v>
      </c>
      <c r="M5">
        <v>20.6</v>
      </c>
    </row>
    <row r="6" spans="4:13" x14ac:dyDescent="0.35">
      <c r="D6" t="s">
        <v>1</v>
      </c>
      <c r="E6">
        <v>12.7</v>
      </c>
      <c r="F6">
        <v>10.5</v>
      </c>
      <c r="G6">
        <v>9.8000000000000007</v>
      </c>
      <c r="H6">
        <v>3.1</v>
      </c>
      <c r="I6">
        <v>9.8000000000000007</v>
      </c>
      <c r="J6">
        <v>26</v>
      </c>
      <c r="K6">
        <v>12</v>
      </c>
      <c r="L6">
        <v>11.5</v>
      </c>
      <c r="M6">
        <v>14</v>
      </c>
    </row>
    <row r="7" spans="4:13" x14ac:dyDescent="0.35">
      <c r="D7" t="s">
        <v>2</v>
      </c>
      <c r="E7">
        <v>4.3</v>
      </c>
      <c r="F7">
        <v>5.9</v>
      </c>
      <c r="G7">
        <v>4.3</v>
      </c>
      <c r="H7">
        <v>2.9</v>
      </c>
      <c r="I7">
        <v>4.5999999999999996</v>
      </c>
      <c r="J7">
        <v>1.2</v>
      </c>
      <c r="K7">
        <v>5.3</v>
      </c>
      <c r="L7">
        <v>9.5</v>
      </c>
      <c r="M7">
        <v>7</v>
      </c>
    </row>
    <row r="8" spans="4:13" x14ac:dyDescent="0.35">
      <c r="D8" t="s">
        <v>3</v>
      </c>
      <c r="E8">
        <v>0.5</v>
      </c>
      <c r="F8">
        <v>0.8</v>
      </c>
      <c r="G8">
        <v>0.6</v>
      </c>
      <c r="H8">
        <v>0.3</v>
      </c>
      <c r="I8">
        <v>0.8</v>
      </c>
      <c r="J8">
        <v>0</v>
      </c>
      <c r="K8">
        <v>0.7</v>
      </c>
      <c r="L8">
        <v>0.7</v>
      </c>
      <c r="M8">
        <v>0.8</v>
      </c>
    </row>
    <row r="9" spans="4:13" x14ac:dyDescent="0.35">
      <c r="D9" t="s">
        <v>4</v>
      </c>
      <c r="E9">
        <v>12.4</v>
      </c>
      <c r="F9">
        <v>22.7</v>
      </c>
      <c r="G9">
        <v>24.6</v>
      </c>
      <c r="H9">
        <v>0.53</v>
      </c>
      <c r="I9">
        <v>21.2</v>
      </c>
      <c r="J9">
        <v>4</v>
      </c>
      <c r="K9">
        <v>15.1</v>
      </c>
      <c r="L9">
        <v>14.3</v>
      </c>
      <c r="M9">
        <v>13.9</v>
      </c>
    </row>
    <row r="10" spans="4:13" x14ac:dyDescent="0.35">
      <c r="D10" t="s">
        <v>5</v>
      </c>
      <c r="E10">
        <v>18.8</v>
      </c>
      <c r="F10">
        <v>18.8</v>
      </c>
      <c r="G10">
        <v>22.5</v>
      </c>
      <c r="H10">
        <v>14.5</v>
      </c>
      <c r="I10">
        <v>24.1</v>
      </c>
      <c r="J10">
        <v>6.3</v>
      </c>
      <c r="K10">
        <v>20.6</v>
      </c>
      <c r="L10">
        <v>21.1</v>
      </c>
      <c r="M10">
        <v>20.7</v>
      </c>
    </row>
    <row r="11" spans="4:13" x14ac:dyDescent="0.35">
      <c r="D11" t="s">
        <v>6</v>
      </c>
      <c r="E11">
        <v>30.4</v>
      </c>
      <c r="F11">
        <v>21.3</v>
      </c>
      <c r="G11">
        <v>20.100000000000001</v>
      </c>
      <c r="H11">
        <v>73.5</v>
      </c>
      <c r="I11">
        <v>20.8</v>
      </c>
      <c r="J11">
        <v>61.3</v>
      </c>
      <c r="K11">
        <v>25.5</v>
      </c>
      <c r="L11">
        <v>19.5</v>
      </c>
      <c r="M11">
        <v>20.8</v>
      </c>
    </row>
    <row r="12" spans="4:13" x14ac:dyDescent="0.35">
      <c r="D12" t="s">
        <v>7</v>
      </c>
      <c r="E12">
        <v>6.9</v>
      </c>
      <c r="F12">
        <v>4.5999999999999996</v>
      </c>
      <c r="G12">
        <v>5</v>
      </c>
      <c r="H12">
        <v>4.7</v>
      </c>
      <c r="I12">
        <v>5.4</v>
      </c>
      <c r="J12">
        <v>0</v>
      </c>
      <c r="K12">
        <v>5.9</v>
      </c>
      <c r="L12">
        <v>4.4000000000000004</v>
      </c>
      <c r="M12">
        <v>5.0999999999999996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8AD47-A8C3-485D-9FC8-B338C48F1966}">
  <dimension ref="C4:L12"/>
  <sheetViews>
    <sheetView tabSelected="1" topLeftCell="D5" zoomScale="116" workbookViewId="0">
      <selection activeCell="F14" sqref="F14"/>
    </sheetView>
  </sheetViews>
  <sheetFormatPr defaultRowHeight="14.5" x14ac:dyDescent="0.35"/>
  <cols>
    <col min="3" max="3" width="17.1796875" bestFit="1" customWidth="1"/>
    <col min="4" max="4" width="13.90625" bestFit="1" customWidth="1"/>
    <col min="5" max="5" width="13.1796875" bestFit="1" customWidth="1"/>
    <col min="6" max="6" width="10" bestFit="1" customWidth="1"/>
    <col min="7" max="7" width="14.90625" bestFit="1" customWidth="1"/>
    <col min="8" max="8" width="14.1796875" bestFit="1" customWidth="1"/>
    <col min="9" max="9" width="11" bestFit="1" customWidth="1"/>
    <col min="10" max="10" width="14.90625" bestFit="1" customWidth="1"/>
    <col min="11" max="11" width="14.1796875" bestFit="1" customWidth="1"/>
    <col min="12" max="12" width="11" bestFit="1" customWidth="1"/>
  </cols>
  <sheetData>
    <row r="4" spans="3:12" x14ac:dyDescent="0.35"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</row>
    <row r="5" spans="3:12" x14ac:dyDescent="0.35">
      <c r="C5" t="s">
        <v>0</v>
      </c>
      <c r="D5">
        <f>AVERAGE(5.1,5.1,5.6,10.5)</f>
        <v>6.5749999999999993</v>
      </c>
      <c r="E5">
        <f>AVERAGE(4.7,5,4.9)</f>
        <v>4.8666666666666663</v>
      </c>
      <c r="F5">
        <f>AVERAGE(0.4,0.4,0)</f>
        <v>0.26666666666666666</v>
      </c>
      <c r="G5">
        <f>AVERAGE(3.2,2.7,3.9)</f>
        <v>3.2666666666666671</v>
      </c>
      <c r="H5">
        <f>AVERAGE(2.8,3.1,2.3)</f>
        <v>2.7333333333333329</v>
      </c>
      <c r="I5">
        <v>0</v>
      </c>
      <c r="J5">
        <f>AVERAGE(1.8,1.6,1.9)</f>
        <v>1.7666666666666668</v>
      </c>
      <c r="K5">
        <f>AVERAGE(1.5,1.5,1.6)</f>
        <v>1.5333333333333332</v>
      </c>
      <c r="L5">
        <v>0.4</v>
      </c>
    </row>
    <row r="6" spans="3:12" x14ac:dyDescent="0.35">
      <c r="C6" t="s">
        <v>1</v>
      </c>
      <c r="D6">
        <f>AVERAGE(25.6,25.6,34.1,22.5)</f>
        <v>26.950000000000003</v>
      </c>
      <c r="E6">
        <f>AVERAGE(23.1,23.3,24.2)</f>
        <v>23.533333333333335</v>
      </c>
      <c r="F6">
        <f>AVERAGE(8.6,8.6,9)</f>
        <v>8.7333333333333325</v>
      </c>
      <c r="G6">
        <f>AVERAGE(18.5,19.7,19.8)</f>
        <v>19.333333333333332</v>
      </c>
      <c r="H6">
        <f>AVERAGE(17.6,17.6,16.4)</f>
        <v>17.2</v>
      </c>
      <c r="I6">
        <v>5.0999999999999996</v>
      </c>
      <c r="J6">
        <f>AVERAGE(10.9,11.6,11.2)</f>
        <v>11.233333333333334</v>
      </c>
      <c r="K6">
        <f>AVERAGE(11,11.4,10.9)</f>
        <v>11.1</v>
      </c>
      <c r="L6">
        <f>AVERAGE(2.4,2.4,2.7)</f>
        <v>2.5</v>
      </c>
    </row>
    <row r="7" spans="3:12" x14ac:dyDescent="0.35">
      <c r="C7" t="s">
        <v>2</v>
      </c>
      <c r="D7">
        <f>AVERAGE(1.3,1.3,1.2,2.1)</f>
        <v>1.4750000000000001</v>
      </c>
      <c r="E7">
        <f>AVERAGE(1.3,1.2,1.3)</f>
        <v>1.2666666666666666</v>
      </c>
      <c r="F7">
        <v>0</v>
      </c>
      <c r="G7">
        <v>1.6</v>
      </c>
      <c r="H7">
        <v>1.6</v>
      </c>
      <c r="I7">
        <v>0</v>
      </c>
      <c r="J7">
        <v>1.6</v>
      </c>
      <c r="K7">
        <v>1.6</v>
      </c>
      <c r="L7">
        <v>0</v>
      </c>
    </row>
    <row r="8" spans="3:12" x14ac:dyDescent="0.35">
      <c r="C8" t="s">
        <v>3</v>
      </c>
      <c r="D8">
        <f>AVERAGE(0.3,0.3,0,0.3)</f>
        <v>0.22499999999999998</v>
      </c>
      <c r="E8">
        <f>AVERAGE(0,0,0.4)</f>
        <v>0.13333333333333333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3:12" x14ac:dyDescent="0.35">
      <c r="C9" t="s">
        <v>4</v>
      </c>
      <c r="D9">
        <f>AVERAGE(3.9,2.1,11.1,11.1)</f>
        <v>7.0500000000000007</v>
      </c>
      <c r="E9">
        <f>AVERAGE(7.9,8.3,9.1)</f>
        <v>8.4333333333333353</v>
      </c>
      <c r="F9">
        <v>11.4</v>
      </c>
      <c r="G9">
        <f>AVERAGE(6,4.7,4.1)</f>
        <v>4.9333333333333327</v>
      </c>
      <c r="H9">
        <f>AVERAGE(5.9,5.5,6.3)</f>
        <v>5.8999999999999995</v>
      </c>
      <c r="I9">
        <v>30.3</v>
      </c>
      <c r="J9">
        <f>AVERAGE(6.3,5.5,6.3)</f>
        <v>6.0333333333333341</v>
      </c>
      <c r="K9">
        <f>AVERAGE(6.3,6.3,5.5)</f>
        <v>6.0333333333333341</v>
      </c>
      <c r="L9">
        <f>AVERAGE(57.3,58.7,58.3)</f>
        <v>58.1</v>
      </c>
    </row>
    <row r="10" spans="3:12" x14ac:dyDescent="0.35">
      <c r="C10" t="s">
        <v>5</v>
      </c>
      <c r="D10">
        <f>AVERAGE(11.9,11.9,3.5,10.6)</f>
        <v>9.4749999999999996</v>
      </c>
      <c r="E10">
        <f>AVERAGE(17.2,16.9,15)</f>
        <v>16.366666666666664</v>
      </c>
      <c r="F10">
        <v>45.1</v>
      </c>
      <c r="G10">
        <f>AVERAGE(20.6,20.6,22.6)</f>
        <v>21.266666666666669</v>
      </c>
      <c r="H10">
        <f>AVERAGE(23.5,23.5,25)</f>
        <v>24</v>
      </c>
      <c r="I10">
        <v>44.9</v>
      </c>
      <c r="J10">
        <f>AVERAGE(31.7,30.8,31.4)</f>
        <v>31.3</v>
      </c>
      <c r="K10">
        <f>AVERAGE(32,31,31.8)</f>
        <v>31.599999999999998</v>
      </c>
      <c r="L10">
        <f>AVERAGE(29.4,28.7,29.1)</f>
        <v>29.066666666666663</v>
      </c>
    </row>
    <row r="11" spans="3:12" x14ac:dyDescent="0.35">
      <c r="C11" t="s">
        <v>6</v>
      </c>
      <c r="D11">
        <f>AVERAGE(44.5,47,38.3,38.3)</f>
        <v>42.025000000000006</v>
      </c>
      <c r="E11">
        <f>AVERAGE(38.1,38.8,38.7)</f>
        <v>38.533333333333339</v>
      </c>
      <c r="F11">
        <v>18.399999999999999</v>
      </c>
      <c r="G11">
        <f>AVERAGE(44.7,41.6,44.4)</f>
        <v>43.56666666666667</v>
      </c>
      <c r="H11">
        <f>AVERAGE(42.3,42.3,42.2)</f>
        <v>42.266666666666666</v>
      </c>
      <c r="I11">
        <f>AVERAGE(10.6,10.6,10.2)</f>
        <v>10.466666666666667</v>
      </c>
      <c r="J11">
        <f>AVERAGE(41.6,43.1,41.5)</f>
        <v>42.06666666666667</v>
      </c>
      <c r="K11">
        <f>AVERAGE(42,43.1,41.8)</f>
        <v>42.3</v>
      </c>
      <c r="L11">
        <f>AVERAGE(5.5,5.1,5.1)</f>
        <v>5.2333333333333334</v>
      </c>
    </row>
    <row r="12" spans="3:12" x14ac:dyDescent="0.35">
      <c r="C12" t="s">
        <v>7</v>
      </c>
      <c r="D12">
        <f>AVERAGE(6.4,6.4,6.5,5.7)</f>
        <v>6.25</v>
      </c>
      <c r="E12">
        <f>AVERAGE(6.7,6.7,7)</f>
        <v>6.8</v>
      </c>
      <c r="F12">
        <v>16.100000000000001</v>
      </c>
      <c r="G12">
        <f>AVERAGE(6.3,6.5,6.3)</f>
        <v>6.3666666666666671</v>
      </c>
      <c r="H12">
        <f>AVERAGE(6.3,6.3,6.2)</f>
        <v>6.2666666666666666</v>
      </c>
      <c r="I12">
        <f>AVERAGE(9.1,9.1,9.4)</f>
        <v>9.2000000000000011</v>
      </c>
      <c r="J12">
        <f>AVERAGE(6.1,6.1,5.9)</f>
        <v>6.0333333333333341</v>
      </c>
      <c r="K12">
        <v>5.9</v>
      </c>
      <c r="L12">
        <v>4.7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Moreno</dc:creator>
  <cp:lastModifiedBy>Laura Moreno</cp:lastModifiedBy>
  <dcterms:created xsi:type="dcterms:W3CDTF">2025-11-11T21:49:54Z</dcterms:created>
  <dcterms:modified xsi:type="dcterms:W3CDTF">2025-11-28T16:01:47Z</dcterms:modified>
</cp:coreProperties>
</file>