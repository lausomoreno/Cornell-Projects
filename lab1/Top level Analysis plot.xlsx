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b5daa44516668e/Desktop/Cornell/Computer Architecture/lab1/"/>
    </mc:Choice>
  </mc:AlternateContent>
  <xr:revisionPtr revIDLastSave="102" documentId="8_{2EF327B0-D2B2-48D3-A549-35BBD4AAA001}" xr6:coauthVersionLast="47" xr6:coauthVersionMax="47" xr10:uidLastSave="{62153562-4BFB-4377-B7BD-20D3DFB1DBA6}"/>
  <bookViews>
    <workbookView xWindow="-110" yWindow="-110" windowWidth="22780" windowHeight="14540" activeTab="4" xr2:uid="{BD285B92-F759-44E9-9932-1F5BC705030D}"/>
  </bookViews>
  <sheets>
    <sheet name="Matmul" sheetId="1" r:id="rId1"/>
    <sheet name="Conv" sheetId="2" r:id="rId2"/>
    <sheet name="Linear" sheetId="3" r:id="rId3"/>
    <sheet name="Relu" sheetId="4" r:id="rId4"/>
    <sheet name="Softma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5" l="1"/>
  <c r="N23" i="5"/>
  <c r="N22" i="5"/>
  <c r="N21" i="5"/>
  <c r="N20" i="5"/>
  <c r="N19" i="5"/>
  <c r="N18" i="5"/>
  <c r="N17" i="5"/>
  <c r="O24" i="5"/>
  <c r="O23" i="5"/>
  <c r="O22" i="5"/>
  <c r="O21" i="5"/>
  <c r="O20" i="5"/>
  <c r="O19" i="5"/>
  <c r="O18" i="5"/>
  <c r="O17" i="5"/>
  <c r="L24" i="5"/>
  <c r="L23" i="5"/>
  <c r="L22" i="5"/>
  <c r="L21" i="5"/>
  <c r="L20" i="5"/>
  <c r="L19" i="5"/>
  <c r="L18" i="5"/>
  <c r="L17" i="5"/>
  <c r="G34" i="5"/>
  <c r="G33" i="5"/>
  <c r="G32" i="5"/>
  <c r="G31" i="5"/>
  <c r="G30" i="5"/>
  <c r="G29" i="5"/>
  <c r="G28" i="5"/>
  <c r="G27" i="5"/>
  <c r="G22" i="5"/>
  <c r="D5" i="5"/>
  <c r="J4" i="5"/>
  <c r="D23" i="5"/>
  <c r="D22" i="5"/>
  <c r="D21" i="5"/>
  <c r="D20" i="5"/>
  <c r="D19" i="5"/>
  <c r="D18" i="5"/>
  <c r="D17" i="5"/>
  <c r="D16" i="5"/>
  <c r="D11" i="5"/>
  <c r="D10" i="5"/>
  <c r="D9" i="5"/>
  <c r="D8" i="5"/>
  <c r="D7" i="5"/>
  <c r="D6" i="5"/>
  <c r="D4" i="5"/>
  <c r="D12" i="4"/>
  <c r="D11" i="4"/>
  <c r="D10" i="4"/>
  <c r="D9" i="4"/>
  <c r="D8" i="4"/>
  <c r="D7" i="4"/>
  <c r="D6" i="4"/>
  <c r="D5" i="4"/>
  <c r="D4" i="4"/>
  <c r="D12" i="3"/>
  <c r="C12" i="2"/>
  <c r="C11" i="2"/>
  <c r="C9" i="2"/>
  <c r="C10" i="2"/>
  <c r="C8" i="2"/>
  <c r="C7" i="2"/>
  <c r="C6" i="2"/>
  <c r="C5" i="2"/>
  <c r="C4" i="2"/>
  <c r="I13" i="1"/>
  <c r="D12" i="5" l="1"/>
</calcChain>
</file>

<file path=xl/sharedStrings.xml><?xml version="1.0" encoding="utf-8"?>
<sst xmlns="http://schemas.openxmlformats.org/spreadsheetml/2006/main" count="125" uniqueCount="27">
  <si>
    <t>Category</t>
  </si>
  <si>
    <t>Sub-Category</t>
  </si>
  <si>
    <t>% Slots</t>
  </si>
  <si>
    <t>Frontend Bound</t>
  </si>
  <si>
    <t>—</t>
  </si>
  <si>
    <t>Fetch Latency</t>
  </si>
  <si>
    <t>Fetch Bandwidth</t>
  </si>
  <si>
    <t>Bad Speculation</t>
  </si>
  <si>
    <t>Branch Mispredicts</t>
  </si>
  <si>
    <t>Machine Clears</t>
  </si>
  <si>
    <t>Backend Bound</t>
  </si>
  <si>
    <t>Memory Bound</t>
  </si>
  <si>
    <t>Core Bound</t>
  </si>
  <si>
    <t>Retiring</t>
  </si>
  <si>
    <t>Light Operations</t>
  </si>
  <si>
    <t>Heavy Operations</t>
  </si>
  <si>
    <t>MUX</t>
  </si>
  <si>
    <t>Branch Mispredict</t>
  </si>
  <si>
    <t>Memory Bound Core</t>
  </si>
  <si>
    <t xml:space="preserve">Core Bound </t>
  </si>
  <si>
    <t>Mux</t>
  </si>
  <si>
    <t>Softmax</t>
  </si>
  <si>
    <t>Mahine Clears</t>
  </si>
  <si>
    <t>Relu</t>
  </si>
  <si>
    <t>Linear</t>
  </si>
  <si>
    <t>Conv</t>
  </si>
  <si>
    <t>Matmul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</si>
</sst>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Level Analysis (L2) Functions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707372210877E-2"/>
          <c:y val="0.13891385767790262"/>
          <c:w val="0.8797691690922339"/>
          <c:h val="0.65745878675277969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Softmax!$J$17</c:f>
              <c:strCache>
                <c:ptCount val="1"/>
                <c:pt idx="0">
                  <c:v>Fetch Latency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Softmax!$K$16:$O$16</c:f>
              <c:strCache>
                <c:ptCount val="5"/>
                <c:pt idx="0">
                  <c:v>Matmul</c:v>
                </c:pt>
                <c:pt idx="1">
                  <c:v>Conv</c:v>
                </c:pt>
                <c:pt idx="2">
                  <c:v>Linear</c:v>
                </c:pt>
                <c:pt idx="3">
                  <c:v>Relu</c:v>
                </c:pt>
                <c:pt idx="4">
                  <c:v>Softmax</c:v>
                </c:pt>
              </c:strCache>
            </c:strRef>
          </c:cat>
          <c:val>
            <c:numRef>
              <c:f>Softmax!$K$17:$O$17</c:f>
              <c:numCache>
                <c:formatCode>General</c:formatCode>
                <c:ptCount val="5"/>
                <c:pt idx="0">
                  <c:v>0</c:v>
                </c:pt>
                <c:pt idx="1">
                  <c:v>0.80000000000000016</c:v>
                </c:pt>
                <c:pt idx="2">
                  <c:v>1.2</c:v>
                </c:pt>
                <c:pt idx="3">
                  <c:v>22.766666666666666</c:v>
                </c:pt>
                <c:pt idx="4">
                  <c:v>10.766666666666666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4-4B25-A89D-21BC633A9962}"/>
            </c:ext>
          </c:extLst>
        </c:ser>
        <c:ser>
          <c:idx val="1"/>
          <c:order val="1"/>
          <c:tx>
            <c:strRef>
              <c:f>Softmax!$J$18</c:f>
              <c:strCache>
                <c:ptCount val="1"/>
                <c:pt idx="0">
                  <c:v>Fetch Bandwidth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Softmax!$K$16:$O$16</c:f>
              <c:strCache>
                <c:ptCount val="5"/>
                <c:pt idx="0">
                  <c:v>Matmul</c:v>
                </c:pt>
                <c:pt idx="1">
                  <c:v>Conv</c:v>
                </c:pt>
                <c:pt idx="2">
                  <c:v>Linear</c:v>
                </c:pt>
                <c:pt idx="3">
                  <c:v>Relu</c:v>
                </c:pt>
                <c:pt idx="4">
                  <c:v>Softmax</c:v>
                </c:pt>
              </c:strCache>
            </c:strRef>
          </c:cat>
          <c:val>
            <c:numRef>
              <c:f>Softmax!$K$18:$O$18</c:f>
              <c:numCache>
                <c:formatCode>General</c:formatCode>
                <c:ptCount val="5"/>
                <c:pt idx="0">
                  <c:v>0.4</c:v>
                </c:pt>
                <c:pt idx="1">
                  <c:v>0.80000000000000016</c:v>
                </c:pt>
                <c:pt idx="2">
                  <c:v>0.8</c:v>
                </c:pt>
                <c:pt idx="3">
                  <c:v>11.166666666666666</c:v>
                </c:pt>
                <c:pt idx="4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4-4B25-A89D-21BC633A9962}"/>
            </c:ext>
          </c:extLst>
        </c:ser>
        <c:ser>
          <c:idx val="2"/>
          <c:order val="2"/>
          <c:tx>
            <c:strRef>
              <c:f>Softmax!$J$19</c:f>
              <c:strCache>
                <c:ptCount val="1"/>
                <c:pt idx="0">
                  <c:v>Branch Mispredict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Softmax!$K$16:$O$16</c:f>
              <c:strCache>
                <c:ptCount val="5"/>
                <c:pt idx="0">
                  <c:v>Matmul</c:v>
                </c:pt>
                <c:pt idx="1">
                  <c:v>Conv</c:v>
                </c:pt>
                <c:pt idx="2">
                  <c:v>Linear</c:v>
                </c:pt>
                <c:pt idx="3">
                  <c:v>Relu</c:v>
                </c:pt>
                <c:pt idx="4">
                  <c:v>Softmax</c:v>
                </c:pt>
              </c:strCache>
            </c:strRef>
          </c:cat>
          <c:val>
            <c:numRef>
              <c:f>Softmax!$K$19:$O$19</c:f>
              <c:numCache>
                <c:formatCode>General</c:formatCode>
                <c:ptCount val="5"/>
                <c:pt idx="0">
                  <c:v>0</c:v>
                </c:pt>
                <c:pt idx="1">
                  <c:v>0.80000000000000016</c:v>
                </c:pt>
                <c:pt idx="2">
                  <c:v>0.4</c:v>
                </c:pt>
                <c:pt idx="3">
                  <c:v>12.366666666666667</c:v>
                </c:pt>
                <c:pt idx="4">
                  <c:v>4.9666666666666668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24-4B25-A89D-21BC633A9962}"/>
            </c:ext>
          </c:extLst>
        </c:ser>
        <c:ser>
          <c:idx val="3"/>
          <c:order val="3"/>
          <c:tx>
            <c:strRef>
              <c:f>Softmax!$J$20</c:f>
              <c:strCache>
                <c:ptCount val="1"/>
                <c:pt idx="0">
                  <c:v>Machine Clears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Softmax!$K$16:$O$16</c:f>
              <c:strCache>
                <c:ptCount val="5"/>
                <c:pt idx="0">
                  <c:v>Matmul</c:v>
                </c:pt>
                <c:pt idx="1">
                  <c:v>Conv</c:v>
                </c:pt>
                <c:pt idx="2">
                  <c:v>Linear</c:v>
                </c:pt>
                <c:pt idx="3">
                  <c:v>Relu</c:v>
                </c:pt>
                <c:pt idx="4">
                  <c:v>Softmax</c:v>
                </c:pt>
              </c:strCache>
            </c:strRef>
          </c:cat>
          <c:val>
            <c:numRef>
              <c:f>Softmax!$K$20:$O$20</c:f>
              <c:numCache>
                <c:formatCode>General</c:formatCode>
                <c:ptCount val="5"/>
                <c:pt idx="0">
                  <c:v>0.4</c:v>
                </c:pt>
                <c:pt idx="1">
                  <c:v>0</c:v>
                </c:pt>
                <c:pt idx="2">
                  <c:v>0</c:v>
                </c:pt>
                <c:pt idx="3">
                  <c:v>0.6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24-4B25-A89D-21BC633A9962}"/>
            </c:ext>
          </c:extLst>
        </c:ser>
        <c:ser>
          <c:idx val="4"/>
          <c:order val="4"/>
          <c:tx>
            <c:strRef>
              <c:f>Softmax!$J$21</c:f>
              <c:strCache>
                <c:ptCount val="1"/>
                <c:pt idx="0">
                  <c:v>Memory Bound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Softmax!$K$16:$O$16</c:f>
              <c:strCache>
                <c:ptCount val="5"/>
                <c:pt idx="0">
                  <c:v>Matmul</c:v>
                </c:pt>
                <c:pt idx="1">
                  <c:v>Conv</c:v>
                </c:pt>
                <c:pt idx="2">
                  <c:v>Linear</c:v>
                </c:pt>
                <c:pt idx="3">
                  <c:v>Relu</c:v>
                </c:pt>
                <c:pt idx="4">
                  <c:v>Softmax</c:v>
                </c:pt>
              </c:strCache>
            </c:strRef>
          </c:cat>
          <c:val>
            <c:numRef>
              <c:f>Softmax!$K$21:$O$21</c:f>
              <c:numCache>
                <c:formatCode>General</c:formatCode>
                <c:ptCount val="5"/>
                <c:pt idx="0">
                  <c:v>0.4</c:v>
                </c:pt>
                <c:pt idx="1">
                  <c:v>0.53333333333333333</c:v>
                </c:pt>
                <c:pt idx="2">
                  <c:v>7.8</c:v>
                </c:pt>
                <c:pt idx="3">
                  <c:v>13.566666666666668</c:v>
                </c:pt>
                <c:pt idx="4">
                  <c:v>9.9333333333333336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24-4B25-A89D-21BC633A9962}"/>
            </c:ext>
          </c:extLst>
        </c:ser>
        <c:ser>
          <c:idx val="5"/>
          <c:order val="5"/>
          <c:tx>
            <c:strRef>
              <c:f>Softmax!$J$22</c:f>
              <c:strCache>
                <c:ptCount val="1"/>
                <c:pt idx="0">
                  <c:v>Core Bound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Softmax!$K$16:$O$16</c:f>
              <c:strCache>
                <c:ptCount val="5"/>
                <c:pt idx="0">
                  <c:v>Matmul</c:v>
                </c:pt>
                <c:pt idx="1">
                  <c:v>Conv</c:v>
                </c:pt>
                <c:pt idx="2">
                  <c:v>Linear</c:v>
                </c:pt>
                <c:pt idx="3">
                  <c:v>Relu</c:v>
                </c:pt>
                <c:pt idx="4">
                  <c:v>Softmax</c:v>
                </c:pt>
              </c:strCache>
            </c:strRef>
          </c:cat>
          <c:val>
            <c:numRef>
              <c:f>Softmax!$K$22:$O$22</c:f>
              <c:numCache>
                <c:formatCode>General</c:formatCode>
                <c:ptCount val="5"/>
                <c:pt idx="0">
                  <c:v>39.6</c:v>
                </c:pt>
                <c:pt idx="1">
                  <c:v>24.833333333333332</c:v>
                </c:pt>
                <c:pt idx="2">
                  <c:v>47.1</c:v>
                </c:pt>
                <c:pt idx="3">
                  <c:v>14.233333333333334</c:v>
                </c:pt>
                <c:pt idx="4">
                  <c:v>29.133333333333336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24-4B25-A89D-21BC633A9962}"/>
            </c:ext>
          </c:extLst>
        </c:ser>
        <c:ser>
          <c:idx val="6"/>
          <c:order val="6"/>
          <c:tx>
            <c:strRef>
              <c:f>Softmax!$J$23</c:f>
              <c:strCache>
                <c:ptCount val="1"/>
                <c:pt idx="0">
                  <c:v>Light Operations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Softmax!$K$16:$O$16</c:f>
              <c:strCache>
                <c:ptCount val="5"/>
                <c:pt idx="0">
                  <c:v>Matmul</c:v>
                </c:pt>
                <c:pt idx="1">
                  <c:v>Conv</c:v>
                </c:pt>
                <c:pt idx="2">
                  <c:v>Linear</c:v>
                </c:pt>
                <c:pt idx="3">
                  <c:v>Relu</c:v>
                </c:pt>
                <c:pt idx="4">
                  <c:v>Softmax</c:v>
                </c:pt>
              </c:strCache>
            </c:strRef>
          </c:cat>
          <c:val>
            <c:numRef>
              <c:f>Softmax!$K$23:$O$23</c:f>
              <c:numCache>
                <c:formatCode>General</c:formatCode>
                <c:ptCount val="5"/>
                <c:pt idx="0">
                  <c:v>57.3</c:v>
                </c:pt>
                <c:pt idx="1">
                  <c:v>69.933333333333337</c:v>
                </c:pt>
                <c:pt idx="2">
                  <c:v>38</c:v>
                </c:pt>
                <c:pt idx="3">
                  <c:v>21.5</c:v>
                </c:pt>
                <c:pt idx="4">
                  <c:v>34.199999999999996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24-4B25-A89D-21BC633A9962}"/>
            </c:ext>
          </c:extLst>
        </c:ser>
        <c:ser>
          <c:idx val="7"/>
          <c:order val="7"/>
          <c:tx>
            <c:strRef>
              <c:f>Softmax!$J$24</c:f>
              <c:strCache>
                <c:ptCount val="1"/>
                <c:pt idx="0">
                  <c:v>Heavy Operations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Softmax!$K$16:$O$16</c:f>
              <c:strCache>
                <c:ptCount val="5"/>
                <c:pt idx="0">
                  <c:v>Matmul</c:v>
                </c:pt>
                <c:pt idx="1">
                  <c:v>Conv</c:v>
                </c:pt>
                <c:pt idx="2">
                  <c:v>Linear</c:v>
                </c:pt>
                <c:pt idx="3">
                  <c:v>Relu</c:v>
                </c:pt>
                <c:pt idx="4">
                  <c:v>Softmax</c:v>
                </c:pt>
              </c:strCache>
            </c:strRef>
          </c:cat>
          <c:val>
            <c:numRef>
              <c:f>Softmax!$K$24:$O$24</c:f>
              <c:numCache>
                <c:formatCode>General</c:formatCode>
                <c:ptCount val="5"/>
                <c:pt idx="0">
                  <c:v>2</c:v>
                </c:pt>
                <c:pt idx="1">
                  <c:v>2.4</c:v>
                </c:pt>
                <c:pt idx="2">
                  <c:v>4.7</c:v>
                </c:pt>
                <c:pt idx="3">
                  <c:v>3.9</c:v>
                </c:pt>
                <c:pt idx="4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24-4B25-A89D-21BC633A9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8952416"/>
        <c:axId val="2128949536"/>
        <c:axId val="0"/>
      </c:bar3DChart>
      <c:catAx>
        <c:axId val="212895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949536"/>
        <c:crosses val="autoZero"/>
        <c:auto val="1"/>
        <c:lblAlgn val="ctr"/>
        <c:lblOffset val="100"/>
        <c:noMultiLvlLbl val="0"/>
      </c:catAx>
      <c:valAx>
        <c:axId val="21289495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95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200024</xdr:colOff>
      <xdr:row>27</xdr:row>
      <xdr:rowOff>158750</xdr:rowOff>
    </xdr:from>
    <xdr:to>
      <xdr:col>15</xdr:col>
      <xdr:colOff>908050</xdr:colOff>
      <xdr:row>48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16D1CF-182F-E574-E01D-234D063EA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9B4B-FE58-4D58-B024-9BB6B2D3EF63}">
  <dimension ref="B3:I16"/>
  <sheetViews>
    <sheetView workbookViewId="0">
      <selection activeCell="H5" sqref="H5:I12"/>
    </sheetView>
  </sheetViews>
  <sheetFormatPr defaultRowHeight="14.5" x14ac:dyDescent="0.35"/>
  <cols>
    <col min="3" max="3" width="11.81640625" bestFit="1" customWidth="1"/>
    <col min="8" max="8" width="17.1796875" bestFit="1" customWidth="1"/>
  </cols>
  <sheetData>
    <row r="3" spans="2:9" ht="29" x14ac:dyDescent="0.35">
      <c r="B3" s="1" t="s">
        <v>0</v>
      </c>
      <c r="C3" s="1" t="s">
        <v>1</v>
      </c>
      <c r="D3" s="1" t="s">
        <v>2</v>
      </c>
    </row>
    <row r="4" spans="2:9" ht="29" x14ac:dyDescent="0.35">
      <c r="B4" s="3" t="s">
        <v>3</v>
      </c>
      <c r="C4" s="2" t="s">
        <v>4</v>
      </c>
      <c r="D4" s="5">
        <v>0</v>
      </c>
    </row>
    <row r="5" spans="2:9" ht="29" x14ac:dyDescent="0.35">
      <c r="B5" s="2"/>
      <c r="C5" s="2" t="s">
        <v>5</v>
      </c>
      <c r="D5" s="2">
        <v>0</v>
      </c>
      <c r="H5" t="s">
        <v>5</v>
      </c>
      <c r="I5">
        <v>0</v>
      </c>
    </row>
    <row r="6" spans="2:9" ht="29" x14ac:dyDescent="0.35">
      <c r="B6" s="2"/>
      <c r="C6" s="2" t="s">
        <v>6</v>
      </c>
      <c r="D6" s="4">
        <v>0.4</v>
      </c>
      <c r="H6" t="s">
        <v>6</v>
      </c>
      <c r="I6">
        <v>0.4</v>
      </c>
    </row>
    <row r="7" spans="2:9" ht="43.5" x14ac:dyDescent="0.35">
      <c r="B7" s="3" t="s">
        <v>7</v>
      </c>
      <c r="C7" s="2" t="s">
        <v>4</v>
      </c>
      <c r="D7" s="5">
        <v>4.0000000000000001E-3</v>
      </c>
      <c r="H7" t="s">
        <v>17</v>
      </c>
      <c r="I7">
        <v>0</v>
      </c>
    </row>
    <row r="8" spans="2:9" ht="29" x14ac:dyDescent="0.35">
      <c r="B8" s="2"/>
      <c r="C8" s="2" t="s">
        <v>8</v>
      </c>
      <c r="D8" s="6">
        <v>0</v>
      </c>
      <c r="H8" t="s">
        <v>9</v>
      </c>
      <c r="I8">
        <v>0.4</v>
      </c>
    </row>
    <row r="9" spans="2:9" ht="29" x14ac:dyDescent="0.35">
      <c r="B9" s="2"/>
      <c r="C9" s="2" t="s">
        <v>9</v>
      </c>
      <c r="D9" s="4">
        <v>4.0000000000000001E-3</v>
      </c>
      <c r="H9" t="s">
        <v>18</v>
      </c>
      <c r="I9">
        <v>0.4</v>
      </c>
    </row>
    <row r="10" spans="2:9" ht="29" x14ac:dyDescent="0.35">
      <c r="B10" s="3" t="s">
        <v>10</v>
      </c>
      <c r="C10" s="2" t="s">
        <v>4</v>
      </c>
      <c r="D10" s="5">
        <v>0.4</v>
      </c>
      <c r="H10" t="s">
        <v>19</v>
      </c>
      <c r="I10">
        <v>39.6</v>
      </c>
    </row>
    <row r="11" spans="2:9" ht="29" x14ac:dyDescent="0.35">
      <c r="B11" s="2"/>
      <c r="C11" s="3" t="s">
        <v>11</v>
      </c>
      <c r="D11" s="4">
        <v>4.0000000000000001E-3</v>
      </c>
      <c r="H11" t="s">
        <v>14</v>
      </c>
      <c r="I11">
        <v>57.3</v>
      </c>
    </row>
    <row r="12" spans="2:9" x14ac:dyDescent="0.35">
      <c r="B12" s="2"/>
      <c r="C12" s="3" t="s">
        <v>12</v>
      </c>
      <c r="D12" s="5">
        <v>0.39600000000000002</v>
      </c>
      <c r="H12" t="s">
        <v>15</v>
      </c>
      <c r="I12">
        <v>2</v>
      </c>
    </row>
    <row r="13" spans="2:9" x14ac:dyDescent="0.35">
      <c r="B13" s="3" t="s">
        <v>13</v>
      </c>
      <c r="C13" s="2" t="s">
        <v>4</v>
      </c>
      <c r="D13" s="5">
        <v>0.59199999999999997</v>
      </c>
      <c r="H13" t="s">
        <v>20</v>
      </c>
      <c r="I13">
        <f>SUM(I5:I12)</f>
        <v>100.1</v>
      </c>
    </row>
    <row r="14" spans="2:9" ht="29" x14ac:dyDescent="0.35">
      <c r="B14" s="2"/>
      <c r="C14" s="2" t="s">
        <v>14</v>
      </c>
      <c r="D14" s="4">
        <v>0.57299999999999995</v>
      </c>
    </row>
    <row r="15" spans="2:9" ht="29" x14ac:dyDescent="0.35">
      <c r="B15" s="2"/>
      <c r="C15" s="2" t="s">
        <v>15</v>
      </c>
      <c r="D15" s="4">
        <v>0.02</v>
      </c>
    </row>
    <row r="16" spans="2:9" x14ac:dyDescent="0.35">
      <c r="B16" s="3" t="s">
        <v>16</v>
      </c>
      <c r="C16" s="2" t="s">
        <v>4</v>
      </c>
      <c r="D16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77DF-10EA-477E-AAAC-5F51103579AB}">
  <dimension ref="B4:C12"/>
  <sheetViews>
    <sheetView workbookViewId="0">
      <selection activeCell="C4" sqref="C4:C11"/>
    </sheetView>
  </sheetViews>
  <sheetFormatPr defaultRowHeight="14.5" x14ac:dyDescent="0.35"/>
  <cols>
    <col min="2" max="2" width="17.1796875" bestFit="1" customWidth="1"/>
  </cols>
  <sheetData>
    <row r="4" spans="2:3" x14ac:dyDescent="0.35">
      <c r="B4" t="s">
        <v>5</v>
      </c>
      <c r="C4">
        <f>AVERAGE(0.8,0.8,0.8)</f>
        <v>0.80000000000000016</v>
      </c>
    </row>
    <row r="5" spans="2:3" x14ac:dyDescent="0.35">
      <c r="B5" t="s">
        <v>6</v>
      </c>
      <c r="C5">
        <f>AVERAGE(0.8,0.8,0.8)</f>
        <v>0.80000000000000016</v>
      </c>
    </row>
    <row r="6" spans="2:3" x14ac:dyDescent="0.35">
      <c r="B6" t="s">
        <v>17</v>
      </c>
      <c r="C6">
        <f>AVERAGE(0.8,0.8,0.8)</f>
        <v>0.80000000000000016</v>
      </c>
    </row>
    <row r="7" spans="2:3" x14ac:dyDescent="0.35">
      <c r="B7" t="s">
        <v>9</v>
      </c>
      <c r="C7">
        <f>AVERAGE(0,0,0)</f>
        <v>0</v>
      </c>
    </row>
    <row r="8" spans="2:3" x14ac:dyDescent="0.35">
      <c r="B8" t="s">
        <v>18</v>
      </c>
      <c r="C8">
        <f>AVERAGE(0.4,0.8,0.4)</f>
        <v>0.53333333333333333</v>
      </c>
    </row>
    <row r="9" spans="2:3" x14ac:dyDescent="0.35">
      <c r="B9" t="s">
        <v>19</v>
      </c>
      <c r="C9">
        <f>AVERAGE(25.1,24.7,24.7)</f>
        <v>24.833333333333332</v>
      </c>
    </row>
    <row r="10" spans="2:3" x14ac:dyDescent="0.35">
      <c r="B10" t="s">
        <v>14</v>
      </c>
      <c r="C10">
        <f>AVERAGE(70.2,69.8,69.8)</f>
        <v>69.933333333333337</v>
      </c>
    </row>
    <row r="11" spans="2:3" x14ac:dyDescent="0.35">
      <c r="B11" t="s">
        <v>15</v>
      </c>
      <c r="C11">
        <f>AVERAGE(2.4,2.4,2.4)</f>
        <v>2.4</v>
      </c>
    </row>
    <row r="12" spans="2:3" x14ac:dyDescent="0.35">
      <c r="B12" t="s">
        <v>20</v>
      </c>
      <c r="C12">
        <f>SUM(C4:C11)</f>
        <v>100.10000000000001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5794-CB0D-4144-B798-B3DC9F1A6092}">
  <dimension ref="C4:D12"/>
  <sheetViews>
    <sheetView workbookViewId="0">
      <selection activeCell="D4" sqref="D4:D11"/>
    </sheetView>
  </sheetViews>
  <sheetFormatPr defaultRowHeight="14.5" x14ac:dyDescent="0.35"/>
  <cols>
    <col min="3" max="3" width="17.1796875" bestFit="1" customWidth="1"/>
  </cols>
  <sheetData>
    <row r="4" spans="3:4" x14ac:dyDescent="0.35">
      <c r="C4" t="s">
        <v>5</v>
      </c>
      <c r="D4">
        <v>1.2</v>
      </c>
    </row>
    <row r="5" spans="3:4" x14ac:dyDescent="0.35">
      <c r="C5" t="s">
        <v>6</v>
      </c>
      <c r="D5">
        <v>0.8</v>
      </c>
    </row>
    <row r="6" spans="3:4" x14ac:dyDescent="0.35">
      <c r="C6" t="s">
        <v>17</v>
      </c>
      <c r="D6">
        <v>0.4</v>
      </c>
    </row>
    <row r="7" spans="3:4" x14ac:dyDescent="0.35">
      <c r="C7" t="s">
        <v>9</v>
      </c>
      <c r="D7">
        <v>0</v>
      </c>
    </row>
    <row r="8" spans="3:4" x14ac:dyDescent="0.35">
      <c r="C8" t="s">
        <v>18</v>
      </c>
      <c r="D8">
        <v>7.8</v>
      </c>
    </row>
    <row r="9" spans="3:4" x14ac:dyDescent="0.35">
      <c r="C9" t="s">
        <v>19</v>
      </c>
      <c r="D9">
        <v>47.1</v>
      </c>
    </row>
    <row r="10" spans="3:4" x14ac:dyDescent="0.35">
      <c r="C10" t="s">
        <v>14</v>
      </c>
      <c r="D10">
        <v>38</v>
      </c>
    </row>
    <row r="11" spans="3:4" x14ac:dyDescent="0.35">
      <c r="C11" t="s">
        <v>15</v>
      </c>
      <c r="D11">
        <v>4.7</v>
      </c>
    </row>
    <row r="12" spans="3:4" x14ac:dyDescent="0.35">
      <c r="C12" t="s">
        <v>20</v>
      </c>
      <c r="D12">
        <f>SUM(D4:D11)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5B88-42F3-4818-ACEC-AE601585DE21}">
  <dimension ref="C4:D12"/>
  <sheetViews>
    <sheetView workbookViewId="0">
      <selection activeCell="D4" sqref="D4:D11"/>
    </sheetView>
  </sheetViews>
  <sheetFormatPr defaultRowHeight="14.5" x14ac:dyDescent="0.35"/>
  <cols>
    <col min="3" max="3" width="17.1796875" bestFit="1" customWidth="1"/>
  </cols>
  <sheetData>
    <row r="4" spans="3:4" x14ac:dyDescent="0.35">
      <c r="C4" t="s">
        <v>5</v>
      </c>
      <c r="D4">
        <f>AVERAGE(22.9,22.5,22.9)</f>
        <v>22.766666666666666</v>
      </c>
    </row>
    <row r="5" spans="3:4" x14ac:dyDescent="0.35">
      <c r="C5" t="s">
        <v>6</v>
      </c>
      <c r="D5">
        <f>AVERAGE(11.3,11.3,10.9)</f>
        <v>11.166666666666666</v>
      </c>
    </row>
    <row r="6" spans="3:4" x14ac:dyDescent="0.35">
      <c r="C6" t="s">
        <v>17</v>
      </c>
      <c r="D6">
        <f>AVERAGE(12.1,12.5,12.5)</f>
        <v>12.366666666666667</v>
      </c>
    </row>
    <row r="7" spans="3:4" x14ac:dyDescent="0.35">
      <c r="C7" t="s">
        <v>9</v>
      </c>
      <c r="D7">
        <f>AVERAGE(0.6,0.6,0.6)</f>
        <v>0.6</v>
      </c>
    </row>
    <row r="8" spans="3:4" x14ac:dyDescent="0.35">
      <c r="C8" t="s">
        <v>18</v>
      </c>
      <c r="D8">
        <f>AVERAGE(14.5,13.3,12.9)</f>
        <v>13.566666666666668</v>
      </c>
    </row>
    <row r="9" spans="3:4" x14ac:dyDescent="0.35">
      <c r="C9" t="s">
        <v>19</v>
      </c>
      <c r="D9">
        <f>AVERAGE(14.1,14.1,14.5)</f>
        <v>14.233333333333334</v>
      </c>
    </row>
    <row r="10" spans="3:4" x14ac:dyDescent="0.35">
      <c r="C10" t="s">
        <v>14</v>
      </c>
      <c r="D10">
        <f>AVERAGE(20.7,21.9,21.9)</f>
        <v>21.5</v>
      </c>
    </row>
    <row r="11" spans="3:4" x14ac:dyDescent="0.35">
      <c r="C11" t="s">
        <v>15</v>
      </c>
      <c r="D11">
        <f>AVERAGE(3.9,3.9,3.9)</f>
        <v>3.9</v>
      </c>
    </row>
    <row r="12" spans="3:4" x14ac:dyDescent="0.35">
      <c r="C12" t="s">
        <v>20</v>
      </c>
      <c r="D12">
        <f>SUM(D4:D11)</f>
        <v>100.10000000000001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1CA9-EEF2-4A76-983E-0B970D1ED8A9}">
  <dimension ref="C3:Q34"/>
  <sheetViews>
    <sheetView tabSelected="1" topLeftCell="C15" workbookViewId="0">
      <selection activeCell="J16" sqref="J16:O24"/>
    </sheetView>
  </sheetViews>
  <sheetFormatPr defaultRowHeight="14.5" x14ac:dyDescent="0.35"/>
  <cols>
    <col min="3" max="3" width="17.1796875" bestFit="1" customWidth="1"/>
    <col min="10" max="10" width="12.1796875" bestFit="1" customWidth="1"/>
    <col min="11" max="11" width="14.36328125" bestFit="1" customWidth="1"/>
    <col min="12" max="12" width="15.54296875" bestFit="1" customWidth="1"/>
    <col min="13" max="13" width="12.36328125" bestFit="1" customWidth="1"/>
    <col min="14" max="14" width="12.7265625" bestFit="1" customWidth="1"/>
    <col min="15" max="15" width="10.1796875" bestFit="1" customWidth="1"/>
    <col min="16" max="16" width="14.1796875" bestFit="1" customWidth="1"/>
    <col min="17" max="17" width="15.1796875" bestFit="1" customWidth="1"/>
  </cols>
  <sheetData>
    <row r="3" spans="3:17" x14ac:dyDescent="0.35">
      <c r="J3" t="s">
        <v>5</v>
      </c>
      <c r="K3" t="s">
        <v>6</v>
      </c>
      <c r="L3" t="s">
        <v>17</v>
      </c>
      <c r="M3" t="s">
        <v>22</v>
      </c>
      <c r="N3" t="s">
        <v>11</v>
      </c>
      <c r="O3" t="s">
        <v>12</v>
      </c>
      <c r="P3" t="s">
        <v>14</v>
      </c>
      <c r="Q3" t="s">
        <v>15</v>
      </c>
    </row>
    <row r="4" spans="3:17" x14ac:dyDescent="0.35">
      <c r="C4" t="s">
        <v>5</v>
      </c>
      <c r="D4">
        <f>AVERAGE(10.9,10.5,10.9)</f>
        <v>10.766666666666666</v>
      </c>
      <c r="I4" t="s">
        <v>21</v>
      </c>
      <c r="J4">
        <f>AVERAGE(10.9,10.5,10.9)</f>
        <v>10.766666666666666</v>
      </c>
      <c r="K4">
        <v>5.0999999999999996</v>
      </c>
      <c r="L4">
        <v>4.97</v>
      </c>
      <c r="M4">
        <v>0.5</v>
      </c>
      <c r="N4">
        <v>9.93</v>
      </c>
      <c r="O4">
        <v>29.2</v>
      </c>
      <c r="P4">
        <v>34.200000000000003</v>
      </c>
      <c r="Q4">
        <v>5.0999999999999996</v>
      </c>
    </row>
    <row r="5" spans="3:17" x14ac:dyDescent="0.35">
      <c r="C5" t="s">
        <v>6</v>
      </c>
      <c r="D5">
        <f>AVERAGE(5.1,5.1,5.1)</f>
        <v>5.0999999999999996</v>
      </c>
      <c r="I5" t="s">
        <v>23</v>
      </c>
      <c r="J5">
        <v>22.7</v>
      </c>
      <c r="K5">
        <v>11.16</v>
      </c>
      <c r="L5">
        <v>12.36</v>
      </c>
      <c r="M5">
        <v>0.6</v>
      </c>
      <c r="N5">
        <v>13.566700000000001</v>
      </c>
      <c r="O5">
        <v>14.23</v>
      </c>
      <c r="P5">
        <v>21.5</v>
      </c>
      <c r="Q5">
        <v>3.9</v>
      </c>
    </row>
    <row r="6" spans="3:17" x14ac:dyDescent="0.35">
      <c r="C6" t="s">
        <v>17</v>
      </c>
      <c r="D6">
        <f>AVERAGE(5.1,4.7,5.1)</f>
        <v>4.9666666666666668</v>
      </c>
      <c r="I6" t="s">
        <v>24</v>
      </c>
      <c r="J6">
        <v>1.2</v>
      </c>
      <c r="K6">
        <v>0.8</v>
      </c>
      <c r="L6">
        <v>0.4</v>
      </c>
      <c r="M6">
        <v>0</v>
      </c>
      <c r="N6">
        <v>7.8</v>
      </c>
      <c r="O6">
        <v>47.1</v>
      </c>
      <c r="P6">
        <v>38</v>
      </c>
      <c r="Q6">
        <v>4.7</v>
      </c>
    </row>
    <row r="7" spans="3:17" x14ac:dyDescent="0.35">
      <c r="C7" t="s">
        <v>9</v>
      </c>
      <c r="D7">
        <f>AVERAGE(0.5,0.5,0.5)</f>
        <v>0.5</v>
      </c>
      <c r="I7" t="s">
        <v>25</v>
      </c>
      <c r="J7">
        <v>0.8</v>
      </c>
      <c r="K7">
        <v>0.8</v>
      </c>
      <c r="L7">
        <v>0.8</v>
      </c>
      <c r="M7">
        <v>0</v>
      </c>
      <c r="N7">
        <v>0.53300000000000003</v>
      </c>
      <c r="O7">
        <v>24.832999999999998</v>
      </c>
      <c r="P7">
        <v>69.933000000000007</v>
      </c>
      <c r="Q7">
        <v>2.4</v>
      </c>
    </row>
    <row r="8" spans="3:17" x14ac:dyDescent="0.35">
      <c r="C8" t="s">
        <v>18</v>
      </c>
      <c r="D8">
        <f>AVERAGE(9.8,9.8,10.2)</f>
        <v>9.9333333333333336</v>
      </c>
      <c r="I8" t="s">
        <v>26</v>
      </c>
      <c r="J8">
        <v>0</v>
      </c>
      <c r="K8">
        <v>0.4</v>
      </c>
      <c r="L8">
        <v>0</v>
      </c>
      <c r="M8">
        <v>0.4</v>
      </c>
      <c r="N8">
        <v>0.4</v>
      </c>
      <c r="O8">
        <v>39.6</v>
      </c>
      <c r="P8">
        <v>57.3</v>
      </c>
      <c r="Q8">
        <v>2</v>
      </c>
    </row>
    <row r="9" spans="3:17" x14ac:dyDescent="0.35">
      <c r="C9" t="s">
        <v>19</v>
      </c>
      <c r="D9">
        <f>AVERAGE(28.6,28.2,30.6)</f>
        <v>29.133333333333336</v>
      </c>
    </row>
    <row r="10" spans="3:17" x14ac:dyDescent="0.35">
      <c r="C10" t="s">
        <v>14</v>
      </c>
      <c r="D10">
        <f>AVERAGE(33.7,34,34.9)</f>
        <v>34.199999999999996</v>
      </c>
    </row>
    <row r="11" spans="3:17" x14ac:dyDescent="0.35">
      <c r="C11" t="s">
        <v>15</v>
      </c>
      <c r="D11">
        <f>AVERAGE(5.1,5.1,5.1)</f>
        <v>5.0999999999999996</v>
      </c>
    </row>
    <row r="12" spans="3:17" x14ac:dyDescent="0.35">
      <c r="C12" t="s">
        <v>20</v>
      </c>
      <c r="D12">
        <f>SUM(D4:D11)</f>
        <v>99.699999999999989</v>
      </c>
    </row>
    <row r="14" spans="3:17" x14ac:dyDescent="0.35">
      <c r="F14" t="s">
        <v>5</v>
      </c>
      <c r="G14">
        <v>1.2</v>
      </c>
    </row>
    <row r="15" spans="3:17" x14ac:dyDescent="0.35">
      <c r="F15" t="s">
        <v>6</v>
      </c>
      <c r="G15">
        <v>0.8</v>
      </c>
    </row>
    <row r="16" spans="3:17" x14ac:dyDescent="0.35">
      <c r="C16" t="s">
        <v>5</v>
      </c>
      <c r="D16">
        <f>AVERAGE(22.9,22.5,22.9)</f>
        <v>22.766666666666666</v>
      </c>
      <c r="F16" t="s">
        <v>17</v>
      </c>
      <c r="G16">
        <v>0.4</v>
      </c>
      <c r="K16" t="s">
        <v>26</v>
      </c>
      <c r="L16" t="s">
        <v>25</v>
      </c>
      <c r="M16" t="s">
        <v>24</v>
      </c>
      <c r="N16" t="s">
        <v>23</v>
      </c>
      <c r="O16" t="s">
        <v>21</v>
      </c>
    </row>
    <row r="17" spans="3:15" x14ac:dyDescent="0.35">
      <c r="C17" t="s">
        <v>6</v>
      </c>
      <c r="D17">
        <f>AVERAGE(11.3,11.3,10.9)</f>
        <v>11.166666666666666</v>
      </c>
      <c r="F17" t="s">
        <v>9</v>
      </c>
      <c r="G17">
        <v>0</v>
      </c>
      <c r="J17" t="s">
        <v>5</v>
      </c>
      <c r="K17">
        <v>0</v>
      </c>
      <c r="L17">
        <f>AVERAGE(0.8,0.8,0.8)</f>
        <v>0.80000000000000016</v>
      </c>
      <c r="M17">
        <v>1.2</v>
      </c>
      <c r="N17">
        <f>AVERAGE(22.9,22.5,22.9)</f>
        <v>22.766666666666666</v>
      </c>
      <c r="O17">
        <f>AVERAGE(10.9,10.5,10.9)</f>
        <v>10.766666666666666</v>
      </c>
    </row>
    <row r="18" spans="3:15" x14ac:dyDescent="0.35">
      <c r="C18" t="s">
        <v>17</v>
      </c>
      <c r="D18">
        <f>AVERAGE(12.1,12.5,12.5)</f>
        <v>12.366666666666667</v>
      </c>
      <c r="F18" t="s">
        <v>18</v>
      </c>
      <c r="G18">
        <v>7.8</v>
      </c>
      <c r="J18" t="s">
        <v>6</v>
      </c>
      <c r="K18">
        <v>0.4</v>
      </c>
      <c r="L18">
        <f>AVERAGE(0.8,0.8,0.8)</f>
        <v>0.80000000000000016</v>
      </c>
      <c r="M18">
        <v>0.8</v>
      </c>
      <c r="N18">
        <f>AVERAGE(11.3,11.3,10.9)</f>
        <v>11.166666666666666</v>
      </c>
      <c r="O18">
        <f>AVERAGE(5.1,5.1,5.1)</f>
        <v>5.0999999999999996</v>
      </c>
    </row>
    <row r="19" spans="3:15" x14ac:dyDescent="0.35">
      <c r="C19" t="s">
        <v>9</v>
      </c>
      <c r="D19">
        <f>AVERAGE(0.6,0.6,0.6)</f>
        <v>0.6</v>
      </c>
      <c r="F19" t="s">
        <v>19</v>
      </c>
      <c r="G19">
        <v>47.1</v>
      </c>
      <c r="J19" t="s">
        <v>17</v>
      </c>
      <c r="K19">
        <v>0</v>
      </c>
      <c r="L19">
        <f>AVERAGE(0.8,0.8,0.8)</f>
        <v>0.80000000000000016</v>
      </c>
      <c r="M19">
        <v>0.4</v>
      </c>
      <c r="N19">
        <f>AVERAGE(12.1,12.5,12.5)</f>
        <v>12.366666666666667</v>
      </c>
      <c r="O19">
        <f>AVERAGE(5.1,4.7,5.1)</f>
        <v>4.9666666666666668</v>
      </c>
    </row>
    <row r="20" spans="3:15" x14ac:dyDescent="0.35">
      <c r="C20" t="s">
        <v>18</v>
      </c>
      <c r="D20">
        <f>AVERAGE(14.5,13.3,12.9)</f>
        <v>13.566666666666668</v>
      </c>
      <c r="F20" t="s">
        <v>14</v>
      </c>
      <c r="G20">
        <v>38</v>
      </c>
      <c r="J20" t="s">
        <v>9</v>
      </c>
      <c r="K20">
        <v>0.4</v>
      </c>
      <c r="L20">
        <f>AVERAGE(0,0,0)</f>
        <v>0</v>
      </c>
      <c r="M20">
        <v>0</v>
      </c>
      <c r="N20">
        <f>AVERAGE(0.6,0.6,0.6)</f>
        <v>0.6</v>
      </c>
      <c r="O20">
        <f>AVERAGE(0.5,0.5,0.5)</f>
        <v>0.5</v>
      </c>
    </row>
    <row r="21" spans="3:15" x14ac:dyDescent="0.35">
      <c r="C21" t="s">
        <v>19</v>
      </c>
      <c r="D21">
        <f>AVERAGE(14.1,14.1,14.5)</f>
        <v>14.233333333333334</v>
      </c>
      <c r="F21" t="s">
        <v>15</v>
      </c>
      <c r="G21">
        <v>4.7</v>
      </c>
      <c r="J21" t="s">
        <v>18</v>
      </c>
      <c r="K21">
        <v>0.4</v>
      </c>
      <c r="L21">
        <f>AVERAGE(0.4,0.8,0.4)</f>
        <v>0.53333333333333333</v>
      </c>
      <c r="M21">
        <v>7.8</v>
      </c>
      <c r="N21">
        <f>AVERAGE(14.5,13.3,12.9)</f>
        <v>13.566666666666668</v>
      </c>
      <c r="O21">
        <f>AVERAGE(9.8,9.8,10.2)</f>
        <v>9.9333333333333336</v>
      </c>
    </row>
    <row r="22" spans="3:15" x14ac:dyDescent="0.35">
      <c r="C22" t="s">
        <v>14</v>
      </c>
      <c r="D22">
        <f>AVERAGE(20.7,21.9,21.9)</f>
        <v>21.5</v>
      </c>
      <c r="F22" t="s">
        <v>20</v>
      </c>
      <c r="G22">
        <f>SUM(G14:G21)</f>
        <v>100</v>
      </c>
      <c r="J22" t="s">
        <v>19</v>
      </c>
      <c r="K22">
        <v>39.6</v>
      </c>
      <c r="L22">
        <f>AVERAGE(25.1,24.7,24.7)</f>
        <v>24.833333333333332</v>
      </c>
      <c r="M22">
        <v>47.1</v>
      </c>
      <c r="N22">
        <f>AVERAGE(14.1,14.1,14.5)</f>
        <v>14.233333333333334</v>
      </c>
      <c r="O22">
        <f>AVERAGE(28.6,28.2,30.6)</f>
        <v>29.133333333333336</v>
      </c>
    </row>
    <row r="23" spans="3:15" x14ac:dyDescent="0.35">
      <c r="C23" t="s">
        <v>15</v>
      </c>
      <c r="D23">
        <f>AVERAGE(3.9,3.9,3.9)</f>
        <v>3.9</v>
      </c>
      <c r="J23" t="s">
        <v>14</v>
      </c>
      <c r="K23">
        <v>57.3</v>
      </c>
      <c r="L23">
        <f>AVERAGE(70.2,69.8,69.8)</f>
        <v>69.933333333333337</v>
      </c>
      <c r="M23">
        <v>38</v>
      </c>
      <c r="N23">
        <f>AVERAGE(20.7,21.9,21.9)</f>
        <v>21.5</v>
      </c>
      <c r="O23">
        <f>AVERAGE(33.7,34,34.9)</f>
        <v>34.199999999999996</v>
      </c>
    </row>
    <row r="24" spans="3:15" x14ac:dyDescent="0.35">
      <c r="J24" t="s">
        <v>15</v>
      </c>
      <c r="K24">
        <v>2</v>
      </c>
      <c r="L24">
        <f>AVERAGE(2.4,2.4,2.4)</f>
        <v>2.4</v>
      </c>
      <c r="M24">
        <v>4.7</v>
      </c>
      <c r="N24">
        <f>AVERAGE(3.9,3.9,3.9)</f>
        <v>3.9</v>
      </c>
      <c r="O24">
        <f>AVERAGE(5.1,5.1,5.1)</f>
        <v>5.0999999999999996</v>
      </c>
    </row>
    <row r="27" spans="3:15" x14ac:dyDescent="0.35">
      <c r="C27" t="s">
        <v>5</v>
      </c>
      <c r="D27">
        <v>0</v>
      </c>
      <c r="F27" t="s">
        <v>5</v>
      </c>
      <c r="G27">
        <f>AVERAGE(0.8,0.8,0.8)</f>
        <v>0.80000000000000016</v>
      </c>
    </row>
    <row r="28" spans="3:15" x14ac:dyDescent="0.35">
      <c r="C28" t="s">
        <v>6</v>
      </c>
      <c r="D28">
        <v>0.4</v>
      </c>
      <c r="F28" t="s">
        <v>6</v>
      </c>
      <c r="G28">
        <f>AVERAGE(0.8,0.8,0.8)</f>
        <v>0.80000000000000016</v>
      </c>
    </row>
    <row r="29" spans="3:15" x14ac:dyDescent="0.35">
      <c r="C29" t="s">
        <v>17</v>
      </c>
      <c r="D29">
        <v>0</v>
      </c>
      <c r="F29" t="s">
        <v>17</v>
      </c>
      <c r="G29">
        <f>AVERAGE(0.8,0.8,0.8)</f>
        <v>0.80000000000000016</v>
      </c>
    </row>
    <row r="30" spans="3:15" x14ac:dyDescent="0.35">
      <c r="C30" t="s">
        <v>9</v>
      </c>
      <c r="D30">
        <v>0.4</v>
      </c>
      <c r="F30" t="s">
        <v>9</v>
      </c>
      <c r="G30">
        <f>AVERAGE(0,0,0)</f>
        <v>0</v>
      </c>
    </row>
    <row r="31" spans="3:15" x14ac:dyDescent="0.35">
      <c r="C31" t="s">
        <v>18</v>
      </c>
      <c r="D31">
        <v>0.4</v>
      </c>
      <c r="F31" t="s">
        <v>18</v>
      </c>
      <c r="G31">
        <f>AVERAGE(0.4,0.8,0.4)</f>
        <v>0.53333333333333333</v>
      </c>
    </row>
    <row r="32" spans="3:15" x14ac:dyDescent="0.35">
      <c r="C32" t="s">
        <v>19</v>
      </c>
      <c r="D32">
        <v>39.6</v>
      </c>
      <c r="F32" t="s">
        <v>19</v>
      </c>
      <c r="G32">
        <f>AVERAGE(25.1,24.7,24.7)</f>
        <v>24.833333333333332</v>
      </c>
    </row>
    <row r="33" spans="3:7" x14ac:dyDescent="0.35">
      <c r="C33" t="s">
        <v>14</v>
      </c>
      <c r="D33">
        <v>57.3</v>
      </c>
      <c r="F33" t="s">
        <v>14</v>
      </c>
      <c r="G33">
        <f>AVERAGE(70.2,69.8,69.8)</f>
        <v>69.933333333333337</v>
      </c>
    </row>
    <row r="34" spans="3:7" x14ac:dyDescent="0.35">
      <c r="C34" t="s">
        <v>15</v>
      </c>
      <c r="D34">
        <v>2</v>
      </c>
      <c r="F34" t="s">
        <v>15</v>
      </c>
      <c r="G34">
        <f>AVERAGE(2.4,2.4,2.4)</f>
        <v>2.4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Matmul</vt:lpstr>
      <vt:lpstr>Conv</vt:lpstr>
      <vt:lpstr>Linear</vt:lpstr>
      <vt:lpstr>Relu</vt:lpstr>
      <vt:lpstr>Softmax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Moreno</dc:creator>
  <cp:lastModifiedBy>Laura Moreno</cp:lastModifiedBy>
  <dcterms:created xsi:type="dcterms:W3CDTF">2025-10-04T17:31:52Z</dcterms:created>
  <dcterms:modified xsi:type="dcterms:W3CDTF">2025-10-04T21:50:34Z</dcterms:modified>
</cp:coreProperties>
</file>